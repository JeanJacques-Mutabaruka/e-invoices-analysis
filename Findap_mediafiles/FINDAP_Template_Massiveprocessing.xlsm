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JACKO\FINDAP\ONLINE APPLICATION\streamlit_findap_test\Findap_mediafiles\"/>
    </mc:Choice>
  </mc:AlternateContent>
  <xr:revisionPtr revIDLastSave="0" documentId="13_ncr:1_{9D489429-FF07-46A6-8D08-FBFEB2017281}" xr6:coauthVersionLast="47" xr6:coauthVersionMax="47" xr10:uidLastSave="{00000000-0000-0000-0000-000000000000}"/>
  <bookViews>
    <workbookView xWindow="-108" yWindow="-108" windowWidth="23256" windowHeight="12456" tabRatio="868" firstSheet="3" activeTab="3" xr2:uid="{8BE39297-C778-4829-827F-9485C88A5576}"/>
  </bookViews>
  <sheets>
    <sheet name="Technical params-Slicers" sheetId="18" state="hidden" r:id="rId1"/>
    <sheet name="Technical params" sheetId="19" state="hidden" r:id="rId2"/>
    <sheet name="Template report" sheetId="20" state="veryHidden" r:id="rId3"/>
    <sheet name="Home" sheetId="1" r:id="rId4"/>
    <sheet name="To be calculated" sheetId="23" state="hidden" r:id="rId5"/>
    <sheet name="Sheets renaming Params" sheetId="22" state="hidden" r:id="rId6"/>
    <sheet name="Ebm-SALES BY MONTH" sheetId="3" state="hidden" r:id="rId7"/>
    <sheet name="Ebm-PURCHASES BY MONTH" sheetId="5" state="hidden" r:id="rId8"/>
    <sheet name="Ebm-Etax Purchases comparison" sheetId="13" state="hidden" r:id="rId9"/>
    <sheet name="Ebm-Etax Sales comparison" sheetId="17" state="hidden" r:id="rId10"/>
    <sheet name="Ebm-SALES BY CLIENT" sheetId="4" state="hidden" r:id="rId11"/>
    <sheet name="Ebm-PURCHASES BY SUPPLIER" sheetId="2" state="hidden" r:id="rId12"/>
    <sheet name="Etax-SALES BY MONTH" sheetId="10" state="hidden" r:id="rId13"/>
    <sheet name="Etax-PURCHASES BY MONTH" sheetId="11" state="hidden" r:id="rId14"/>
    <sheet name="Etax-PURCHASES BY SUPPLIER" sheetId="12" state="hidden" r:id="rId15"/>
    <sheet name="Etax-SALES BY CLIENT" sheetId="15" state="hidden" r:id="rId16"/>
    <sheet name="ETAX PAYROLL ANALYSIS" sheetId="7" state="hidden" r:id="rId17"/>
    <sheet name="Ebm-INVOICES FROM SUPPLIERS" sheetId="6" state="hidden" r:id="rId18"/>
    <sheet name="Ebm-INVOICES TO CLIENTS" sheetId="14" state="hidden" r:id="rId19"/>
    <sheet name="EBM DATA SYNTHESIS" sheetId="9" state="hidden" r:id="rId20"/>
    <sheet name="Etax_Payroll All" sheetId="8" state="hidden" r:id="rId21"/>
  </sheets>
  <functionGroups builtInGroupCount="19"/>
  <definedNames>
    <definedName name="exist_tbl_EbmVatannex_Import20">'Sheets renaming Params'!$E$4</definedName>
    <definedName name="exist_tbl_EbmVatannex_Import21">'Sheets renaming Params'!$E$5</definedName>
    <definedName name="exist_tbl_EbmVatannex_Purchases">'Sheets renaming Params'!$E$2</definedName>
    <definedName name="exist_tbl_EbmVatannex_Sales">'Sheets renaming Params'!$E$3</definedName>
    <definedName name="exist_tbl_EtaxVatannex_Import">'Sheets renaming Params'!$E$8</definedName>
    <definedName name="exist_tbl_EtaxVatannex_Purchases">'Sheets renaming Params'!$E$7</definedName>
    <definedName name="exist_tbl_EtaxVatannex_Sales">'Sheets renaming Params'!$E$6</definedName>
    <definedName name="_xlnm.Print_Titles" localSheetId="2">'Template report'!$1:$3</definedName>
    <definedName name="rng_Ebmdatasynthesis_Enddate">'EBM DATA SYNTHESIS'!$C$8</definedName>
    <definedName name="rng_Ebmdatasynthesis_Importenddate">'EBM DATA SYNTHESIS'!$G$13</definedName>
    <definedName name="rng_Ebmdatasynthesis_Importstartdate">'EBM DATA SYNTHESIS'!$F$13</definedName>
    <definedName name="rng_Ebmdatasynthesis_Importvatamount">'EBM DATA SYNTHESIS'!$D$13</definedName>
    <definedName name="rng_Ebmdatasynthesis_Importvatincluded">'EBM DATA SYNTHESIS'!$E$13</definedName>
    <definedName name="rng_Ebmdatasynthesis_Importwtvat">'EBM DATA SYNTHESIS'!$C$13</definedName>
    <definedName name="rng_Ebmdatasynthesis_Purchasesenddate">'EBM DATA SYNTHESIS'!$G$12</definedName>
    <definedName name="rng_Ebmdatasynthesis_Purchasesstartdate">'EBM DATA SYNTHESIS'!$F$12</definedName>
    <definedName name="rng_Ebmdatasynthesis_Purchasesvatamount">'EBM DATA SYNTHESIS'!$D$12</definedName>
    <definedName name="rng_Ebmdatasynthesis_Purchasesvatincluded">'EBM DATA SYNTHESIS'!$E$12</definedName>
    <definedName name="rng_Ebmdatasynthesis_Purchaseswtvat">'EBM DATA SYNTHESIS'!$C$12</definedName>
    <definedName name="rng_Ebmdatasynthesis_Salesenddate">'EBM DATA SYNTHESIS'!$G$11</definedName>
    <definedName name="rng_Ebmdatasynthesis_Salesstartdate">'EBM DATA SYNTHESIS'!$F$11</definedName>
    <definedName name="rng_Ebmdatasynthesis_Salesvatamount">'EBM DATA SYNTHESIS'!$D$11</definedName>
    <definedName name="rng_Ebmdatasynthesis_Salesvatincluded">'EBM DATA SYNTHESIS'!$E$11</definedName>
    <definedName name="rng_Ebmdatasynthesis_Saleswtvat">'EBM DATA SYNTHESIS'!$C$11</definedName>
    <definedName name="rng_Ebmdatasynthesis_Startdate">'EBM DATA SYNTHESIS'!$C$7</definedName>
    <definedName name="rng_Home_cmdbtn_create_slicers">Home!$A$8</definedName>
    <definedName name="rng_Home_Processingmessage">Home!$A$5</definedName>
    <definedName name="rng_Params_cmd_get_advancedanalysis">Home!$B$2</definedName>
    <definedName name="rng_Params_cmd_print_report_PurchasesbySupplier">Home!$D$2</definedName>
    <definedName name="rng_Params_Language">Home!$Z$3:$Z$5</definedName>
    <definedName name="rng_SheetsrenamingParams_Sheet2rename">tbl_SheetsrenamingParams[[#Headers],[SHEET TO RENAME]]</definedName>
    <definedName name="rng_SheetsrenamingParams_Sheetnewname">tbl_SheetsrenamingParams[[#Headers],[SHEET NEW NAME]]</definedName>
    <definedName name="rng_Technicalparams_fieldname">'Technical params'!$C$2</definedName>
    <definedName name="rng_Technicalparams_formulavalue">'Technical params'!$D$2</definedName>
    <definedName name="rng_Technicalparams_Generatereport">tbl_Findapreports_parameters[[#Headers],[FINDAP REPORT generate report]]</definedName>
    <definedName name="rng_Technicalparams_PivotfieldAutosort">'Technical params'!$AA$2</definedName>
    <definedName name="rng_Technicalparams_PivotfieldAutosortfield">'Technical params'!$AB$2</definedName>
    <definedName name="rng_Technicalparams_PivotfieldCalculation">'Technical params'!$AC$2</definedName>
    <definedName name="rng_Technicalparams_Pivotfieldcaption">'Technical params'!$S$2</definedName>
    <definedName name="rng_Technicalparams_Pivotfieldfunction">'Technical params'!$T$2</definedName>
    <definedName name="rng_Technicalparams_PivotfieldLayoutBlankline">'Technical params'!$Y$2</definedName>
    <definedName name="rng_Technicalparams_PivotfieldLayoutCompactRow">'Technical params'!$X$2</definedName>
    <definedName name="rng_Technicalparams_PivotfieldLayoutForm">'Technical params'!$W$2</definedName>
    <definedName name="rng_Technicalparams_Pivotfieldname">'Technical params'!$R$2</definedName>
    <definedName name="rng_Technicalparams_PivotfieldNumberformat">'Technical params'!$AD$2</definedName>
    <definedName name="rng_Technicalparams_Pivotfieldorientation">'Technical params'!$U$2</definedName>
    <definedName name="rng_Technicalparams_Pivotfieldposition">'Technical params'!$V$2</definedName>
    <definedName name="rng_Technicalparams_PivotfieldSubtotal">'Technical params'!$Z$2</definedName>
    <definedName name="rng_Technicalparams_Pivottablename">'Technical params'!$Q$2</definedName>
    <definedName name="rng_Technicalparams_Rawdatasheetname">'Technical params'!$F$2</definedName>
    <definedName name="rng_Technicalparams_Rawdatatablename">'Technical params'!$G$2</definedName>
    <definedName name="rng_Technicalparams_Report1strowcaption">'Technical params'!$L$2</definedName>
    <definedName name="rng_Technicalparams_Reportdatasource">'Technical params'!$K$2</definedName>
    <definedName name="rng_Technicalparams_Reportpivottablename">'Technical params'!$J$2</definedName>
    <definedName name="rng_Technicalparams_Reportsheetname">'Technical params'!$I$2</definedName>
    <definedName name="rng_Technicalparams_Reporttitle">'Technical params'!$M$2</definedName>
    <definedName name="rng_Technicalparams_Reporttitlerows2print">'Technical params'!$N$2</definedName>
    <definedName name="rng_Technicalparams_RowHeight">'Technical params-Slicers'!$N$2</definedName>
    <definedName name="rng_Technicalparams_sheetname">'Technical params'!$B$2</definedName>
    <definedName name="rng_Technicalparams_Slicercaption">'Technical params-Slicers'!$F$2</definedName>
    <definedName name="rng_Technicalparams_Slicerfieldsource">'Technical params-Slicers'!$C$2</definedName>
    <definedName name="rng_Technicalparams_Slicerheight">'Technical params-Slicers'!$J$2</definedName>
    <definedName name="rng_Technicalparams_Slicerleft">'Technical params-Slicers'!$H$2</definedName>
    <definedName name="rng_Technicalparams_Slicerlevel">'Technical params-Slicers'!$D$2</definedName>
    <definedName name="rng_Technicalparams_Slicername">'Technical params-Slicers'!$E$2</definedName>
    <definedName name="rng_Technicalparams_Slicernumbercolumns">'Technical params-Slicers'!$K$2</definedName>
    <definedName name="rng_Technicalparams_Slicerpivotsource">'Technical params-Slicers'!$B$2</definedName>
    <definedName name="rng_Technicalparams_Slicerplacement">'Technical params-Slicers'!$L$2</definedName>
    <definedName name="rng_Technicalparams_Slicerprintobject">'Technical params-Slicers'!$M$2</definedName>
    <definedName name="rng_Technicalparams_Slicersheetname">'Technical params-Slicers'!$A$2</definedName>
    <definedName name="rng_Technicalparams_Slicertop">'Technical params-Slicers'!$G$2</definedName>
    <definedName name="rng_Technicalparams_Slicerwidth">'Technical params-Slicers'!$I$2</definedName>
    <definedName name="rng_Technicalparamsfieldposition_Fieldorientation">tbl_Technicalparams_Yearfield[[#Headers],[YEAR FIELD ORIENTATION]]</definedName>
    <definedName name="rng_Technicalparamsfieldposition_Pvtcompactcaption">tbl_Technicalparams_Yearfield[[#Headers],[COMPACT LAYOUT CAPTION]]</definedName>
    <definedName name="rng_Technicalparamsfieldposition_Pvtname">tbl_Technicalparams_Yearfield[[#Headers],[PIVOT TABLE NAME]]</definedName>
    <definedName name="rng_Technicalparamsfieldposition_Pvtsheetname">tbl_Technicalparams_Yearfield[[#Headers],[PIVOT TABLE SHEETNAME]]</definedName>
  </definedNames>
  <calcPr calcId="191029"/>
  <pivotCaches>
    <pivotCache cacheId="744" r:id="rId22"/>
    <pivotCache cacheId="745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07" i="18" l="1"/>
  <c r="H207" i="18"/>
  <c r="H208" i="18" s="1"/>
  <c r="H209" i="18" s="1"/>
  <c r="H210" i="18" s="1"/>
  <c r="I201" i="18"/>
  <c r="H201" i="18"/>
  <c r="H202" i="18" s="1"/>
  <c r="H203" i="18" s="1"/>
  <c r="H204" i="18" s="1"/>
  <c r="H205" i="18" s="1"/>
  <c r="I195" i="18"/>
  <c r="H196" i="18" s="1"/>
  <c r="H197" i="18" s="1"/>
  <c r="H198" i="18" s="1"/>
  <c r="H199" i="18" s="1"/>
  <c r="H195" i="18"/>
  <c r="I192" i="18"/>
  <c r="H190" i="18"/>
  <c r="H191" i="18" s="1"/>
  <c r="H192" i="18" s="1"/>
  <c r="H193" i="18" s="1"/>
  <c r="I187" i="18"/>
  <c r="I185" i="18"/>
  <c r="H186" i="18" s="1"/>
  <c r="H187" i="18" s="1"/>
  <c r="H188" i="18" s="1"/>
  <c r="H181" i="18"/>
  <c r="H182" i="18" s="1"/>
  <c r="H183" i="18" s="1"/>
  <c r="H180" i="18"/>
  <c r="H175" i="18"/>
  <c r="H176" i="18" s="1"/>
  <c r="H177" i="18" s="1"/>
  <c r="H178" i="18" s="1"/>
  <c r="H171" i="18"/>
  <c r="H172" i="18" s="1"/>
  <c r="H173" i="18" s="1"/>
  <c r="H170" i="18"/>
  <c r="H165" i="18"/>
  <c r="H166" i="18" s="1"/>
  <c r="H167" i="18" s="1"/>
  <c r="H168" i="18" s="1"/>
  <c r="H161" i="18"/>
  <c r="H162" i="18" s="1"/>
  <c r="H163" i="18" s="1"/>
  <c r="H160" i="18"/>
  <c r="H155" i="18"/>
  <c r="H156" i="18" s="1"/>
  <c r="H157" i="18" s="1"/>
  <c r="H158" i="18" s="1"/>
  <c r="I153" i="18"/>
  <c r="I152" i="18"/>
  <c r="H151" i="18"/>
  <c r="H152" i="18" s="1"/>
  <c r="H153" i="18" s="1"/>
  <c r="I149" i="18"/>
  <c r="I148" i="18"/>
  <c r="H146" i="18"/>
  <c r="H147" i="18" s="1"/>
  <c r="H148" i="18" s="1"/>
  <c r="H149" i="18" s="1"/>
  <c r="I144" i="18"/>
  <c r="G144" i="18"/>
  <c r="I141" i="18"/>
  <c r="H139" i="18"/>
  <c r="H140" i="18" s="1"/>
  <c r="H141" i="18" s="1"/>
  <c r="H142" i="18" s="1"/>
  <c r="H143" i="18" s="1"/>
  <c r="H144" i="18" s="1"/>
  <c r="I137" i="18"/>
  <c r="I136" i="18"/>
  <c r="I135" i="18"/>
  <c r="H133" i="18"/>
  <c r="H134" i="18" s="1"/>
  <c r="H135" i="18" s="1"/>
  <c r="H136" i="18" s="1"/>
  <c r="H137" i="18" s="1"/>
  <c r="I131" i="18"/>
  <c r="I129" i="18"/>
  <c r="H127" i="18"/>
  <c r="H128" i="18" s="1"/>
  <c r="H129" i="18" s="1"/>
  <c r="H130" i="18" s="1"/>
  <c r="H131" i="18" s="1"/>
  <c r="I125" i="18"/>
  <c r="H125" i="18"/>
  <c r="I124" i="18"/>
  <c r="H124" i="18"/>
  <c r="I122" i="18"/>
  <c r="I121" i="18"/>
  <c r="H121" i="18"/>
  <c r="H122" i="18" s="1"/>
  <c r="I119" i="18"/>
  <c r="I117" i="18"/>
  <c r="H117" i="18"/>
  <c r="H118" i="18" s="1"/>
  <c r="H119" i="18" s="1"/>
  <c r="I115" i="18"/>
  <c r="I113" i="18"/>
  <c r="H113" i="18"/>
  <c r="H114" i="18" s="1"/>
  <c r="H115" i="18" s="1"/>
  <c r="I110" i="18"/>
  <c r="H110" i="18"/>
  <c r="H111" i="18" s="1"/>
  <c r="I108" i="18"/>
  <c r="I103" i="18"/>
  <c r="H103" i="18"/>
  <c r="H104" i="18" s="1"/>
  <c r="H105" i="18" s="1"/>
  <c r="H106" i="18" s="1"/>
  <c r="H107" i="18" s="1"/>
  <c r="H108" i="18" s="1"/>
  <c r="I100" i="18"/>
  <c r="H100" i="18"/>
  <c r="H101" i="18" s="1"/>
  <c r="I98" i="18"/>
  <c r="I97" i="18"/>
  <c r="H96" i="18"/>
  <c r="H97" i="18" s="1"/>
  <c r="H98" i="18" s="1"/>
  <c r="H95" i="18"/>
  <c r="I93" i="18"/>
  <c r="I92" i="18"/>
  <c r="H92" i="18"/>
  <c r="H93" i="18" s="1"/>
  <c r="H91" i="18"/>
  <c r="H90" i="18"/>
  <c r="I88" i="18"/>
  <c r="I87" i="18"/>
  <c r="H85" i="18"/>
  <c r="H86" i="18" s="1"/>
  <c r="H87" i="18" s="1"/>
  <c r="H88" i="18" s="1"/>
  <c r="I83" i="18"/>
  <c r="I82" i="18"/>
  <c r="I79" i="18"/>
  <c r="H79" i="18"/>
  <c r="H80" i="18" s="1"/>
  <c r="H81" i="18" s="1"/>
  <c r="H82" i="18" s="1"/>
  <c r="H83" i="18" s="1"/>
  <c r="I77" i="18"/>
  <c r="I76" i="18"/>
  <c r="H74" i="18"/>
  <c r="H75" i="18" s="1"/>
  <c r="H76" i="18" s="1"/>
  <c r="H77" i="18" s="1"/>
  <c r="I72" i="18"/>
  <c r="I71" i="18"/>
  <c r="H68" i="18"/>
  <c r="H69" i="18" s="1"/>
  <c r="H70" i="18" s="1"/>
  <c r="H71" i="18" s="1"/>
  <c r="H72" i="18" s="1"/>
  <c r="I66" i="18"/>
  <c r="I65" i="18"/>
  <c r="H63" i="18"/>
  <c r="H64" i="18" s="1"/>
  <c r="H65" i="18" s="1"/>
  <c r="H66" i="18" s="1"/>
  <c r="I61" i="18"/>
  <c r="I60" i="18"/>
  <c r="H59" i="18"/>
  <c r="H60" i="18" s="1"/>
  <c r="H61" i="18" s="1"/>
  <c r="H58" i="18"/>
  <c r="J56" i="18"/>
  <c r="J55" i="18"/>
  <c r="J54" i="18"/>
  <c r="H54" i="18"/>
  <c r="H55" i="18" s="1"/>
  <c r="H56" i="18" s="1"/>
  <c r="J53" i="18"/>
  <c r="J52" i="18"/>
  <c r="J51" i="18"/>
  <c r="J50" i="18"/>
  <c r="H50" i="18"/>
  <c r="H51" i="18" s="1"/>
  <c r="H52" i="18" s="1"/>
  <c r="J49" i="18"/>
  <c r="J48" i="18"/>
  <c r="J47" i="18"/>
  <c r="I47" i="18"/>
  <c r="H47" i="18"/>
  <c r="H48" i="18" s="1"/>
  <c r="J46" i="18"/>
  <c r="I45" i="18"/>
  <c r="I44" i="18"/>
  <c r="H45" i="18" s="1"/>
  <c r="I42" i="18"/>
  <c r="I41" i="18"/>
  <c r="H42" i="18" s="1"/>
  <c r="I38" i="18"/>
  <c r="I36" i="18"/>
  <c r="H37" i="18" s="1"/>
  <c r="H38" i="18" s="1"/>
  <c r="H39" i="18" s="1"/>
  <c r="I32" i="18"/>
  <c r="H32" i="18"/>
  <c r="H33" i="18" s="1"/>
  <c r="H34" i="18" s="1"/>
  <c r="I31" i="18"/>
  <c r="J19" i="18"/>
  <c r="J17" i="18"/>
  <c r="J16" i="18"/>
  <c r="J14" i="18"/>
  <c r="A3" i="23" l="1"/>
  <c r="A2" i="23" l="1"/>
  <c r="A4" i="23"/>
  <c r="A5" i="23"/>
  <c r="A6" i="23"/>
  <c r="D14" i="9" l="1"/>
  <c r="E14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JEAN JACQUES MUTABARUKA</author>
  </authors>
  <commentList>
    <comment ref="D2" authorId="0" shapeId="0" xr:uid="{E6CFC6D8-CF2C-4F5B-8642-F176EB1DA5FB}">
      <text>
        <r>
          <rPr>
            <sz val="11"/>
            <color theme="1"/>
            <rFont val="Calibri"/>
            <family val="2"/>
            <scheme val="minor"/>
          </rPr>
          <t>JEAN JACQUES MUTABARUKA:
Formula value is added in the field in case that field is missing in the data on the Excel sheet</t>
        </r>
      </text>
    </comment>
  </commentList>
</comments>
</file>

<file path=xl/sharedStrings.xml><?xml version="1.0" encoding="utf-8"?>
<sst xmlns="http://schemas.openxmlformats.org/spreadsheetml/2006/main" count="5700" uniqueCount="689">
  <si>
    <t>PARAMS_01</t>
  </si>
  <si>
    <t>PARAMS_02</t>
  </si>
  <si>
    <t>PARAMS_03</t>
  </si>
  <si>
    <t>LANGUAGE</t>
  </si>
  <si>
    <t>KINYARWANDA</t>
  </si>
  <si>
    <t>ENGLISH</t>
  </si>
  <si>
    <t>FRANCAIS</t>
  </si>
  <si>
    <t>CATEGORY</t>
  </si>
  <si>
    <t>AMOUNT WITHOUT VAT</t>
  </si>
  <si>
    <t>AMOUNT VAT INCLUSIVE</t>
  </si>
  <si>
    <t>SALES</t>
  </si>
  <si>
    <t>PURCHASES</t>
  </si>
  <si>
    <t>NET</t>
  </si>
  <si>
    <t>VAT AMOUNT</t>
  </si>
  <si>
    <t>FROM</t>
  </si>
  <si>
    <t>TO</t>
  </si>
  <si>
    <t>IMPORT</t>
  </si>
  <si>
    <t>START DATE</t>
  </si>
  <si>
    <t>END DATE</t>
  </si>
  <si>
    <t>SLICER SHEETNAME</t>
  </si>
  <si>
    <t>PIVOT TABLE SOURCE</t>
  </si>
  <si>
    <t>SLICER FIELD SOURCE</t>
  </si>
  <si>
    <t>SLICER LEVEL</t>
  </si>
  <si>
    <t>SLICER NAME</t>
  </si>
  <si>
    <t>SLICER CAPTION</t>
  </si>
  <si>
    <t>TOP</t>
  </si>
  <si>
    <t>LEFT</t>
  </si>
  <si>
    <t>WIDTH</t>
  </si>
  <si>
    <t>HEIGHT</t>
  </si>
  <si>
    <t>Number Of Columns</t>
  </si>
  <si>
    <t>Placement</t>
  </si>
  <si>
    <t>PrintObject</t>
  </si>
  <si>
    <t>Etax-PURCHASES BY MONTH</t>
  </si>
  <si>
    <t>pvt_Purchasesbymonth</t>
  </si>
  <si>
    <t>YEAR</t>
  </si>
  <si>
    <t>YEAR-MONTH</t>
  </si>
  <si>
    <t>PERIOD</t>
  </si>
  <si>
    <t>Etax-PURCHASES BY SUPPLIER</t>
  </si>
  <si>
    <t>pvt_Purchasesbysupplier</t>
  </si>
  <si>
    <t>Row HEIGHT parameters</t>
  </si>
  <si>
    <t>1;15</t>
  </si>
  <si>
    <t>Ebm-Etax Purchases comparison</t>
  </si>
  <si>
    <t>pvt_EbmEtaxPurchasescomparison</t>
  </si>
  <si>
    <t>Ebm-SALES BY MONTH</t>
  </si>
  <si>
    <t>pvt_Salesbymonth</t>
  </si>
  <si>
    <t>DAY</t>
  </si>
  <si>
    <t>DATE</t>
  </si>
  <si>
    <t>Ebm-PURCHASES BY MONTH</t>
  </si>
  <si>
    <t>Ebm-SALES BY CLIENT</t>
  </si>
  <si>
    <t>pvt_Salesbyclient</t>
  </si>
  <si>
    <t>PIVOT TABLE SHEETNAME</t>
  </si>
  <si>
    <t>PIVOT TABLE NAME</t>
  </si>
  <si>
    <t>YEAR FIELD ORIENTATION</t>
  </si>
  <si>
    <t>COMPACT LAYOUT CAPTION</t>
  </si>
  <si>
    <t>ROW</t>
  </si>
  <si>
    <t>Ebm-PURCHASES BY SUPPLIER</t>
  </si>
  <si>
    <t>Ebm-Etax Sales comparison</t>
  </si>
  <si>
    <t>pvt_EbmEtaxSalescomparison</t>
  </si>
  <si>
    <t>Etax-SALES BY MONTH</t>
  </si>
  <si>
    <t>Etax-SALES BY CLIENT</t>
  </si>
  <si>
    <t>2;45</t>
  </si>
  <si>
    <t>RAW DATA FIELDS PARAMETERS</t>
  </si>
  <si>
    <t>RAW DATA TABLES NAMES</t>
  </si>
  <si>
    <t>FINDAP REPORTS PARAMETERS</t>
  </si>
  <si>
    <t>PIVOT TABLES PARAMETERS</t>
  </si>
  <si>
    <t>SHEET NAME</t>
  </si>
  <si>
    <t>FIELD NAME</t>
  </si>
  <si>
    <t>FORMULA VALUE</t>
  </si>
  <si>
    <t>FINDAP RAW DATA SHEETNAME</t>
  </si>
  <si>
    <t>FINDAP RAW DATA TABLE NAME</t>
  </si>
  <si>
    <t>FINDAP REPORT SHEETNAME</t>
  </si>
  <si>
    <t>DATA SOURCE TABLE NAME</t>
  </si>
  <si>
    <t>FINDAP REPORT TITLE</t>
  </si>
  <si>
    <t>PIVOTFIELD NAME</t>
  </si>
  <si>
    <t>PIVOTFIELD CAPTION</t>
  </si>
  <si>
    <t>PIVOTFIELD FUNCTION</t>
  </si>
  <si>
    <t>PIVOTFIELD ORIENTATION</t>
  </si>
  <si>
    <t>PIVOTFIELD POSITION</t>
  </si>
  <si>
    <t>PIVOTFIELD LAYOUT FORM</t>
  </si>
  <si>
    <t>PIVOTFIELD LAYOUT COMPACT ROW</t>
  </si>
  <si>
    <t>PIVOTFIELD LAYOUT BLANK LINE</t>
  </si>
  <si>
    <t>PIVOTFIELD SUBTOTAL</t>
  </si>
  <si>
    <t>PIVOTFIELD AUTOSORT</t>
  </si>
  <si>
    <t>PIVOTFIELD AUTOSORT FIELD</t>
  </si>
  <si>
    <t>PIVOTFIELD VALUES CALCULATION</t>
  </si>
  <si>
    <t>PIVOTFIELD NUMBER FORMAT</t>
  </si>
  <si>
    <t>Combined data</t>
  </si>
  <si>
    <t>DOCUMENT NUMBER</t>
  </si>
  <si>
    <t>tbl_Combineddata</t>
  </si>
  <si>
    <t>xlPageField</t>
  </si>
  <si>
    <t>AMOUNT WITHOUT VAT (signed)</t>
  </si>
  <si>
    <t>AMOUNT (VAT excluded)</t>
  </si>
  <si>
    <t>xlSum</t>
  </si>
  <si>
    <t>Values</t>
  </si>
  <si>
    <t>DESCRIPTION</t>
  </si>
  <si>
    <t>0</t>
  </si>
  <si>
    <t>VAT AMOUNT (signed)</t>
  </si>
  <si>
    <t>VAT-AMOUNT</t>
  </si>
  <si>
    <t>SUPPLIER TIN</t>
  </si>
  <si>
    <t>999999999</t>
  </si>
  <si>
    <t>AMOUNT VAT INCLUSIVE (signed)</t>
  </si>
  <si>
    <t>Total AMOUNT VAT INCLUSIVE</t>
  </si>
  <si>
    <t>SUPPLIER NAME</t>
  </si>
  <si>
    <t>OTHER SUPPLIER</t>
  </si>
  <si>
    <t>Percentage</t>
  </si>
  <si>
    <t>xlPercentOfColumn</t>
  </si>
  <si>
    <t>BUYER TIN</t>
  </si>
  <si>
    <t>777777777</t>
  </si>
  <si>
    <t>TRANSACTION ORIGIN CATEGORY</t>
  </si>
  <si>
    <t>ORIGIN</t>
  </si>
  <si>
    <t>xlRowField</t>
  </si>
  <si>
    <t>xlOutline</t>
  </si>
  <si>
    <t>xlAscending</t>
  </si>
  <si>
    <t>BUYER NAME</t>
  </si>
  <si>
    <t>OTHER CLIENT</t>
  </si>
  <si>
    <t>TRANSACTION CATEGORY</t>
  </si>
  <si>
    <t>ORIGIN_FILE</t>
  </si>
  <si>
    <t>ORIGIN_SHEETNAME</t>
  </si>
  <si>
    <t>WAY</t>
  </si>
  <si>
    <t>MONTH</t>
  </si>
  <si>
    <t>P&amp;L summary</t>
  </si>
  <si>
    <t>pvt_PnLsummary</t>
  </si>
  <si>
    <t>PnL CATEGORY</t>
  </si>
  <si>
    <t>SOURCE</t>
  </si>
  <si>
    <t>CATEGORY WITHIN SOURCE</t>
  </si>
  <si>
    <t>PnL AMOUNT (signed)</t>
  </si>
  <si>
    <t>AMOUNT (RWF)</t>
  </si>
  <si>
    <t>DON'T RESIZE</t>
  </si>
  <si>
    <t>ORIGIN and CATEGORY</t>
  </si>
  <si>
    <t>ORIGIN &amp; CATEGORY</t>
  </si>
  <si>
    <t>xlColumnField</t>
  </si>
  <si>
    <t>FINDAP REPORT Title Rows to print</t>
  </si>
  <si>
    <t>$1:$5</t>
  </si>
  <si>
    <t>Nb RECORDS</t>
  </si>
  <si>
    <t>xlCount</t>
  </si>
  <si>
    <t>xlPercentOfParentRow</t>
  </si>
  <si>
    <t>BoK Statement02</t>
  </si>
  <si>
    <t>tbl_BoKStatement02</t>
  </si>
  <si>
    <t>Cashflows BoK_02</t>
  </si>
  <si>
    <t>pvt_BoKStatement02</t>
  </si>
  <si>
    <t>=1</t>
  </si>
  <si>
    <t>SUB CATEGORY</t>
  </si>
  <si>
    <t>COUNTERPART</t>
  </si>
  <si>
    <t>SIGNED AMOUNT-RWF</t>
  </si>
  <si>
    <t>SENDER</t>
  </si>
  <si>
    <t>ABSOLUTE AMOUNT-RWF</t>
  </si>
  <si>
    <t>RECEIVER</t>
  </si>
  <si>
    <t>ABSOLUTE AMOUNT (CCY)</t>
  </si>
  <si>
    <t>=[@[TRANSACTION AMOUNT CREDIT]]+[@[TRANSACTION AMOUNT DEBIT]]</t>
  </si>
  <si>
    <t>SIGNED AMOUNT (CCY)</t>
  </si>
  <si>
    <t>=[@[TRANSACTION AMOUNT CREDIT]]-[@[TRANSACTION AMOUNT DEBIT]]</t>
  </si>
  <si>
    <t>FOREX</t>
  </si>
  <si>
    <t>=[@[ABSOLUTE AMOUNT (CCY)]]*[@[FOREX]]</t>
  </si>
  <si>
    <t>=[@[SIGNED AMOUNT (CCY)]]*[@[FOREX]]</t>
  </si>
  <si>
    <t>DAILY BALANCE ALL ACCOUNTS</t>
  </si>
  <si>
    <t>=SUMIFS([SIGNED AMOUNT-RWF],[TRANSACTION DATE],"&lt;="&amp;INT([@[TRANSACTION DATE]])+1)</t>
  </si>
  <si>
    <t>=TEXT([@[TRANSACTION DATE]],"YYYY")</t>
  </si>
  <si>
    <t>=TEXT([@[TRANSACTION DATE]],"MM-MMM")</t>
  </si>
  <si>
    <t>=TEXT([@[TRANSACTION DATE]],"DD")</t>
  </si>
  <si>
    <t>=TEXT([@[TRANSACTION DATE]],"YYYY-MM")</t>
  </si>
  <si>
    <t>=IF([@[TRANSACTION AMOUNT CREDIT]]&gt;0,"CASH-IN",IF([@[TRANSACTION AMOUNT DEBIT]]&gt;0,"CASH-OUT","-"))</t>
  </si>
  <si>
    <t>Accounting records-SAGE</t>
  </si>
  <si>
    <t>=TEXT([@[DATE PIECE]],"YYYY")</t>
  </si>
  <si>
    <t>=TEXT([@[DATE PIECE]],"MM-MMM")</t>
  </si>
  <si>
    <t>=TEXT([@[DATE PIECE]],"DD")</t>
  </si>
  <si>
    <t>=TEXT([@[DATE PIECE]],"YYYY-MM")</t>
  </si>
  <si>
    <t>tbl_AccountingrecordSage</t>
  </si>
  <si>
    <t>Trial Balance SAGE</t>
  </si>
  <si>
    <t>pvt_TbSage</t>
  </si>
  <si>
    <t>ACCOUNT</t>
  </si>
  <si>
    <t>TRIAL BALANCE - SAGE</t>
  </si>
  <si>
    <t>MONTANT</t>
  </si>
  <si>
    <t>SENS</t>
  </si>
  <si>
    <t>COMPTE GENERAL</t>
  </si>
  <si>
    <t>GENERAL ACCOUNT</t>
  </si>
  <si>
    <t>COMPTE TIERS</t>
  </si>
  <si>
    <t>SUB ACCOUNT</t>
  </si>
  <si>
    <t>xlDescending</t>
  </si>
  <si>
    <t>EBM daily summary</t>
  </si>
  <si>
    <t>pvt_Ebmdailysummary</t>
  </si>
  <si>
    <t>Summary of SALES &amp; PURCHASES by period</t>
  </si>
  <si>
    <t>FINDAP REPORT generate report</t>
  </si>
  <si>
    <t>PAYABLES summary</t>
  </si>
  <si>
    <t>pvt_Payablesummary</t>
  </si>
  <si>
    <t>Summary of PAYABLES : PURCHASES by SUPPLIER</t>
  </si>
  <si>
    <t>xlTabular</t>
  </si>
  <si>
    <t>INVOICE DATE</t>
  </si>
  <si>
    <t>ddd dd-mmm-yyyy</t>
  </si>
  <si>
    <t>INVOICE NUMBER</t>
  </si>
  <si>
    <t>Accounting records-Qkbk</t>
  </si>
  <si>
    <t>AMOUNT</t>
  </si>
  <si>
    <t>=[@[AMOUNT CREDIT]]+[@[AMOUNT DEBIT]]</t>
  </si>
  <si>
    <t>=IF([@[AMOUNT CREDIT]]&gt;0,"C","D")</t>
  </si>
  <si>
    <t>tbl_AccountingrecordQkbk</t>
  </si>
  <si>
    <t>Trial Balance Qkbk</t>
  </si>
  <si>
    <t>pvt_TbQkbk</t>
  </si>
  <si>
    <t>TRIAL BALANCE - QUICKBOOKS</t>
  </si>
  <si>
    <t>CODE JOURNAL</t>
  </si>
  <si>
    <t>TRANSACTION ID</t>
  </si>
  <si>
    <t>DHE group Invoices summary</t>
  </si>
  <si>
    <t>INVOICE STATUS</t>
  </si>
  <si>
    <t>STATUS</t>
  </si>
  <si>
    <t>INVOICE PAYMENT TYPE</t>
  </si>
  <si>
    <t>PYT MODE</t>
  </si>
  <si>
    <t>PAYMENT DURATION</t>
  </si>
  <si>
    <t>INVOICE TOTAL AMOUNT without VAT</t>
  </si>
  <si>
    <t>INVOICE TOTAL VAT AMOUNT</t>
  </si>
  <si>
    <t>INVOICE TOTAL AMOUNT VAT included</t>
  </si>
  <si>
    <t>SELLER</t>
  </si>
  <si>
    <t>BUYER</t>
  </si>
  <si>
    <t>INVOICE ISSUE DATE</t>
  </si>
  <si>
    <t>DHE-Sales by status</t>
  </si>
  <si>
    <t>pvt_DHEgroupsalesbystatus</t>
  </si>
  <si>
    <t>DHE-Sales by Payment mode</t>
  </si>
  <si>
    <t>pvt_DHEgroupsalesbypaymentmode</t>
  </si>
  <si>
    <t>PAYMENT MODE</t>
  </si>
  <si>
    <t>OUTSTANDING BALANCE</t>
  </si>
  <si>
    <t>=[@[INVOICE TOTAL AMOUNT VAT included]]-[@[INVOICE AMOUNT PAID]]</t>
  </si>
  <si>
    <t>Summary of DHE GROUP SALES by Payment Status</t>
  </si>
  <si>
    <t>Summary of DHE GROUP SALES by Payment mode</t>
  </si>
  <si>
    <t>RECEIVABLES</t>
  </si>
  <si>
    <t>Pct Receivables</t>
  </si>
  <si>
    <t>tbl_DHEgroup_Salesinvoices</t>
  </si>
  <si>
    <t>tbl_DHEgroup_Purchasesinvoices</t>
  </si>
  <si>
    <t>DHE-Purchases by status</t>
  </si>
  <si>
    <t>pvt_DHEgroupPurchasesbystatus</t>
  </si>
  <si>
    <t>Summary of DHE GROUP PURCHASES by Payment Status</t>
  </si>
  <si>
    <t>DHE-Purchases by Payment mode</t>
  </si>
  <si>
    <t>pvt_DHEgroupPurchasesbypaymentmode</t>
  </si>
  <si>
    <t>Summary of DHE GROUP PURCHASES by Payment mode</t>
  </si>
  <si>
    <t>pvt_DHEgroup_Salesinvoicesummary</t>
  </si>
  <si>
    <t>PAYABLES</t>
  </si>
  <si>
    <t>Pct Payables</t>
  </si>
  <si>
    <t>SUPPLIER</t>
  </si>
  <si>
    <t>pvt_DHEgroup_Purchasesinvoicesummary</t>
  </si>
  <si>
    <t>DHE Sales Invoices summary</t>
  </si>
  <si>
    <t>DHE Purchases Invoices summary</t>
  </si>
  <si>
    <t>Nb of Items</t>
  </si>
  <si>
    <t>INVOICE ITEM</t>
  </si>
  <si>
    <t>DHE-SalesExcel Summary</t>
  </si>
  <si>
    <t>pvt_DHEgroupSalesExcelsummary</t>
  </si>
  <si>
    <t>TOTAL AMOUNT SALES</t>
  </si>
  <si>
    <t>=[@QUANTITY]*[@[UNIT PRICE]]</t>
  </si>
  <si>
    <t>AMOUNT PAID</t>
  </si>
  <si>
    <t>=IF(AND(IFERROR(NUMBERVALUE([@[TOTAL PRICE]]),0)&lt;&gt;0,[@DESCRIPTION]&lt;&gt;"TOTAL SALES",[@DESCRIPTION]&lt;&gt;"TOTAL CASH IN HANDS",[@DESCRIPTION]&lt;&gt;"TOTAL AMOUNT PAID BY MOMO/BANK",[@DESCRIPTION]&lt;&gt;"COLLECTIONS (BANK)/MOMO",[@DESCRIPTION]&lt;&gt;"COLLECTIONS (CAISSE)"),IFERROR(NUMBERVALUE([@[TOTAL PRICE]]),0),0)</t>
  </si>
  <si>
    <t>AMOUNT CREDIT</t>
  </si>
  <si>
    <t>=IF(AND(IFERROR(NUMBERVALUE([@[SALES ON CREDIT]]),0)&lt;&gt;0,[@DESCRIPTION]&lt;&gt;"TOTAL SALES"),IFERROR(NUMBERVALUE([@[SALES ON CREDIT]]),0),0)</t>
  </si>
  <si>
    <t>SALES TYPE</t>
  </si>
  <si>
    <t>=IF(AND(IFERROR(NUMBERVALUE([@[TOTAL PRICE]]),0)&lt;&gt;0,[@DESCRIPTION]&lt;&gt;"TOTAL SALES",[@DESCRIPTION]&lt;&gt;"TOTAL CASH IN HANDS",[@DESCRIPTION]&lt;&gt;"TOTAL AMOUNT PAID BY MOMO/BANK",[@DESCRIPTION]&lt;&gt;"COLLECTIONS (BANK)/MOMO",[@DESCRIPTION]&lt;&gt;"COLLECTIONS (CAISSE)"),"SALES SPOT",IF(AND(IFERROR(NUMBERVALUE([@[SALES ON CREDIT]]),0)&lt;&gt;0,[@DESCRIPTION]&lt;&gt;"TOTAL SALES"),"SALES CREDIT",0))</t>
  </si>
  <si>
    <t>CLIENT NAME cleaned</t>
  </si>
  <si>
    <t>=IF([@[SALES TYPE]]="SALES CREDIT",[@[TOTAL PRICE]],[@[CUSTOMER NAME]])</t>
  </si>
  <si>
    <t>EBM STATUS</t>
  </si>
  <si>
    <t>=IF(ISBLANK([@[EBM REFERENCE]]),"NO EBM","HAS EBM")</t>
  </si>
  <si>
    <t>tbl_DHEgroup_SalesExcel</t>
  </si>
  <si>
    <t>Summary of DHE GROUP SALES from Excel files</t>
  </si>
  <si>
    <t>PAID SALES</t>
  </si>
  <si>
    <t>CREDIT SALES</t>
  </si>
  <si>
    <t>CLIENT NAME</t>
  </si>
  <si>
    <t>DHEgrp-Xl Sales V02</t>
  </si>
  <si>
    <t>DHEgrp-Ocean-Sales</t>
  </si>
  <si>
    <t>DHEgrp-Ocean-Purchases</t>
  </si>
  <si>
    <t>=IF([@[INVOICE AMOUNT PAID]]&lt;&gt;0,[@[INVOICE PAYMENT DATE]]-[@[TRANSACTION DATE]],0)</t>
  </si>
  <si>
    <t>DHE-Sales by Payment date</t>
  </si>
  <si>
    <t>pvt_DHEgroupsalesbypaymentdate</t>
  </si>
  <si>
    <t>PAYMENT MONTH</t>
  </si>
  <si>
    <t>PAYMENT DAY</t>
  </si>
  <si>
    <t>=TEXT([@[INVOICE PAYMENT DATE]],"YYYY-MM")</t>
  </si>
  <si>
    <t>=TEXT([@[INVOICE PAYMENT DATE]],"DD")</t>
  </si>
  <si>
    <t>Summary of DHE GROUP SALES by Payment date</t>
  </si>
  <si>
    <t>TRANSACTION DATE</t>
  </si>
  <si>
    <t>INVOICE PAYMENT DATE</t>
  </si>
  <si>
    <t>PAYMENT DATE</t>
  </si>
  <si>
    <t>INVOICE NUMBER-OCEAN</t>
  </si>
  <si>
    <t>INVOICE NUM-OCEAN</t>
  </si>
  <si>
    <t>DHE-SalesExcel3 Summary</t>
  </si>
  <si>
    <t>pvt_DHEgroupSalesExcel03summary</t>
  </si>
  <si>
    <t>DHEgrp-Xl Sales V03</t>
  </si>
  <si>
    <t>=IF(AND(IFERROR(NUMBERVALUE([@[TOTAL PRICE]]),0)&lt;&gt;0,[@DESCRIPTION]&lt;&gt;"TOTAL SALES",[@DESCRIPTION]&lt;&gt;"TOTAL CASH IN HANDS",[@DESCRIPTION]&lt;&gt;"TOTAL AMOUNT PAID BY MOMO/BANK",[@DESCRIPTION]&lt;&gt;"COLLECTIONS (BANK)/MOMO",[@DESCRIPTION]&lt;&gt;"COLLECTIONS (CAISSE)",[@DESCRIPTION]&lt;&gt;"COLLECTIONS (BANK)",[@DESCRIPTION]&lt;&gt;"TOTAL AMOUNT PAID BY MOMO &amp; BANK"),IFERROR(NUMBERVALUE([@[TOTAL PRICE]]),0),0)</t>
  </si>
  <si>
    <t>tbl_DHEgroup_SalesExcel03</t>
  </si>
  <si>
    <t>IS ITEM</t>
  </si>
  <si>
    <t>ONLY ITEMS</t>
  </si>
  <si>
    <t>SHEET TO RENAME</t>
  </si>
  <si>
    <t>SHEET NEW NAME</t>
  </si>
  <si>
    <t>VAT ANNEXURE SALES V21</t>
  </si>
  <si>
    <t>VAT ANNEX Sales</t>
  </si>
  <si>
    <t>VAT ANNEXURE PURCHASES V21</t>
  </si>
  <si>
    <t>VAT ANNEX Purchases</t>
  </si>
  <si>
    <t>VAT ANNEXURE SALES V20</t>
  </si>
  <si>
    <t>VAT ANNEXURE PURCHASES V20</t>
  </si>
  <si>
    <t>=IF(OR([@DESCRIPTION]="COLLECTIONS (CAISSE)",[@DESCRIPTION]="COLLECTIONS (BANK)",[@DESCRIPTION]="TOTAL SALES",[@DESCRIPTION]="TOTAL AMOUNT PAID BY MOMO &amp; BANK",[@DESCRIPTION]="TOTAL CASH IN HANDS",[@DESCRIPTION]="TOTAL AMOUNT PAID BY MOMO/BANK",[@DESCRIPTION]="COLLECTIONS (BANK)/MOMO",ISBLANK([@DESCRIPTION])),"NO","YES")</t>
  </si>
  <si>
    <t>Number of Invoices</t>
  </si>
  <si>
    <t>=1/COUNTIFS([SER NUM],[@[SER NUM]],[TRANSACTION DATE],[@[TRANSACTION DATE]])</t>
  </si>
  <si>
    <t>Nb of Invoices</t>
  </si>
  <si>
    <t>#,##0;[Red](#,##0);-</t>
  </si>
  <si>
    <t>#,##0.0%;[Red](#,##0.0%);-</t>
  </si>
  <si>
    <t>EBM BO SALES DETAILS V21</t>
  </si>
  <si>
    <t>=[@[SUMMARY AMOUNT]]-[@[VAT AMOUNT]]</t>
  </si>
  <si>
    <t>QUANTITY (Adj)</t>
  </si>
  <si>
    <t>=IF([@[SUMMARY AMOUNT]]&lt;0,-1*ABS([@QUANTITY]),ABS([@QUANTITY]))</t>
  </si>
  <si>
    <t>UNIT PRICE (Adj)</t>
  </si>
  <si>
    <t>=ABS([@[UNIT PRICE]])</t>
  </si>
  <si>
    <t>tbl_Ebmbo21_Salesdetails</t>
  </si>
  <si>
    <t>pvt_Ebmbo21_Sales_summary</t>
  </si>
  <si>
    <t>Summary of SALES BY PRODUCT - EBM Backoffice</t>
  </si>
  <si>
    <t>SDC ID</t>
  </si>
  <si>
    <t>QUANTITY Sold</t>
  </si>
  <si>
    <t>SUMMARY AMOUNT</t>
  </si>
  <si>
    <t>ITEM NAME</t>
  </si>
  <si>
    <t>UNIT-PRICE</t>
  </si>
  <si>
    <t>pvt_InvOcean_SalesbyProduct</t>
  </si>
  <si>
    <t>ITEM QUANTITY</t>
  </si>
  <si>
    <t>Sales AMOUNT (VAT excluded)</t>
  </si>
  <si>
    <t>Sales AMOUNT (VAT included)</t>
  </si>
  <si>
    <t>ITEM CODE</t>
  </si>
  <si>
    <t>InvOcean Sales by Product</t>
  </si>
  <si>
    <t>ITEM UNIT PRICE VAT included</t>
  </si>
  <si>
    <t>Summary of SALES BY PRODUCT - InvoiceOcean</t>
  </si>
  <si>
    <t>ITEM TOTAL AMOUNT without VAT</t>
  </si>
  <si>
    <t>ITEM VAT AMOUNT</t>
  </si>
  <si>
    <t>ITEM TOTAL AMOUNT VAT included</t>
  </si>
  <si>
    <t>DataSc_PurchSales</t>
  </si>
  <si>
    <t>tbl_RRAdsc_PurchasesSales</t>
  </si>
  <si>
    <t>DataSc PurchSales Summary</t>
  </si>
  <si>
    <t>pvt_RRAdsc_PurchSales_summary</t>
  </si>
  <si>
    <t>Summary of PURCHASES-SALES - from RRA data Sciences</t>
  </si>
  <si>
    <t>=IF([@[TAX TYPE]]="B",[@[ITEM TOTAL PRICE]]/1.18,[@[ITEM TOTAL PRICE]])</t>
  </si>
  <si>
    <t>=IF([@[TAX TYPE]]="B",[@[ITEM TOTAL PRICE]]/1.18,0)*18%</t>
  </si>
  <si>
    <t>PURCHASES-SALES</t>
  </si>
  <si>
    <t>SDC INVOICE NUMBER</t>
  </si>
  <si>
    <t>ITEM TOTAL PRICE</t>
  </si>
  <si>
    <t>AMOUNT (VAT included)</t>
  </si>
  <si>
    <t>Combined RRAdsc Summary</t>
  </si>
  <si>
    <t>pvt_RRAdsc_Combined_summary</t>
  </si>
  <si>
    <t>tbl_RRAdsc_Combined</t>
  </si>
  <si>
    <t>Combined RRAdsc</t>
  </si>
  <si>
    <t>QUANTITY</t>
  </si>
  <si>
    <t>VAT</t>
  </si>
  <si>
    <t>AMOUNT VAT INCLUDED (signed)</t>
  </si>
  <si>
    <t>Pct</t>
  </si>
  <si>
    <t>VAT recalculated</t>
  </si>
  <si>
    <t>=IF(OR([@[TAX TYPE]]="B",[@[TAX TYPE]]="UNKNOWN"),[@[ITEM TOTAL PRICE]]/1.18*0.18,IF([@[TAX TYPE]]="IMPORTATION",[@[VAT AMOUNT]],0))</t>
  </si>
  <si>
    <t>=[@[AMOUNT VAT INCLUDED (signed)]]-[@[VAT AMOUNT (signed)]]</t>
  </si>
  <si>
    <t>Duplicate Status</t>
  </si>
  <si>
    <t>=IF(OR([@[TRANSACTION CATEGORY]]="IMPORTATION",[@[TRANSACTION CATEGORY]]="IMPORTS",[@[TRANSACTION CATEGORY]]="PURCHASES",[@[TRANSACTION CATEGORY]]="PURCHASE"),-1*[@[ITEM TOTAL PRICE]],IF(OR([@[TRANSACTION CATEGORY]]="SALES",[@[TRANSACTION CATEGORY]]="SALE",[@[TRANSACTION CATEGORY]]="EXPORTS",[@[TRANSACTION CATEGORY]]="EXPORT"),1*[@[ITEM TOTAL PRICE]],0))</t>
  </si>
  <si>
    <t>=IF(OR([@[TRANSACTION CATEGORY]]="IMPORTATION",[@[TRANSACTION CATEGORY]]="IMPORTS",[@[TRANSACTION CATEGORY]]="PURCHASES",[@[TRANSACTION CATEGORY]]="PURCHASE"),-1,IF(OR([@[TRANSACTION CATEGORY]]="SALES",[@[TRANSACTION CATEGORY]]="SALE",[@[TRANSACTION CATEGORY]]="EXPORTS",[@[TRANSACTION CATEGORY]]="EXPORT"),1,0))*[@[VAT recalculated]]</t>
  </si>
  <si>
    <t>Summary of RRA detailed data : Purchases-Sales-Imports-Exports</t>
  </si>
  <si>
    <t>QUANTITY (signed)</t>
  </si>
  <si>
    <t>=IF(OR([@[TRANSACTION CATEGORY]]="IMPORTATION",[@[TRANSACTION CATEGORY]]="IMPORTS",[@[TRANSACTION CATEGORY]]="PURCHASES",[@[TRANSACTION CATEGORY]]="PURCHASE"),1,IF(OR([@[TRANSACTION CATEGORY]]="SALES",[@[TRANSACTION CATEGORY]]="SALE",[@[TRANSACTION CATEGORY]]="EXPORTS",[@[TRANSACTION CATEGORY]]="EXPORT"),-1,0))*[@[ITEM QUANTITY]]</t>
  </si>
  <si>
    <t>Combined Cashflows</t>
  </si>
  <si>
    <t>=TEXT([@[TRANSACTION DATE]],"MM MMM")</t>
  </si>
  <si>
    <t>tbl_Cashflows</t>
  </si>
  <si>
    <t>Cashflows Summary</t>
  </si>
  <si>
    <t>pvt_Cashflows_summary</t>
  </si>
  <si>
    <t>Summary of CASHFLOWS</t>
  </si>
  <si>
    <t>TRANSACTION REFERENCE</t>
  </si>
  <si>
    <t>Nb of Transactions</t>
  </si>
  <si>
    <t>CASH IN</t>
  </si>
  <si>
    <t>CASH OUT</t>
  </si>
  <si>
    <t>TRANSACTION ORIGIN</t>
  </si>
  <si>
    <t>[Red](#,##0);#,##0;-</t>
  </si>
  <si>
    <t>DEBIT TRANSACTION</t>
  </si>
  <si>
    <t>Nb Debit Trans</t>
  </si>
  <si>
    <t>CREDIT TRANSACTION</t>
  </si>
  <si>
    <t>Nb Credit Trans</t>
  </si>
  <si>
    <t>CREDIT AMOUNT CCY</t>
  </si>
  <si>
    <t>DEBIT AMOUNT CCY</t>
  </si>
  <si>
    <t>CREDIT AMOUNT (RWF)</t>
  </si>
  <si>
    <t>CASH IN (RWF)</t>
  </si>
  <si>
    <t>DEBIT AMOUNT (RWF)</t>
  </si>
  <si>
    <t>CASH OUT (RWF)</t>
  </si>
  <si>
    <t>CASHFLOW AMOUNT (RWF)</t>
  </si>
  <si>
    <t>NET CASHFLOW (RWF)</t>
  </si>
  <si>
    <t>TRANSACTION CURRENCY</t>
  </si>
  <si>
    <t>CURRENCY</t>
  </si>
  <si>
    <t>CASHFLOW SIGN</t>
  </si>
  <si>
    <t>=IF(AND([@[TRANSACTION MONEY OUT]]="TO BE CALCULATED",[@[CASHFLOW SIGN]]=-1),(ABS([@[TRANSACTION AMOUNT]]*[@[CASHFLOW SIGN]])),IF([@[TRANSACTION MONEY OUT]]="TO BE CALCULATED",0,[@[TRANSACTION MONEY OUT]]))</t>
  </si>
  <si>
    <t>=IF(AND([@[TRANSACTION MONEY IN]]="TO BE CALCULATED",[@[CASHFLOW SIGN]]=1),(ABS([@[TRANSACTION AMOUNT]])*[@[CASHFLOW SIGN]]),IF([@[TRANSACTION MONEY IN]]="TO BE CALCULATED",0,[@[TRANSACTION MONEY IN]]))</t>
  </si>
  <si>
    <t>FOREX CCY-RWF</t>
  </si>
  <si>
    <t>=IFERROR([@[CREDIT AMOUNT CCY]]*[@[FOREX CCY-RWF]],0)</t>
  </si>
  <si>
    <t>=IFERROR(([@[CREDIT AMOUNT CCY]]-[@[DEBIT AMOUNT CCY]])*[@[FOREX CCY-RWF]],0)</t>
  </si>
  <si>
    <t>$1:$4</t>
  </si>
  <si>
    <t>KEY</t>
  </si>
  <si>
    <t>TRANSACTION TYPE</t>
  </si>
  <si>
    <t>AMOUNT SIGN</t>
  </si>
  <si>
    <t>EXTERNAL_PAYMENT</t>
  </si>
  <si>
    <t>MOMO MTN</t>
  </si>
  <si>
    <t>PAYMENT</t>
  </si>
  <si>
    <t>CASH_IN</t>
  </si>
  <si>
    <t>TRANSFER</t>
  </si>
  <si>
    <t>Cash in</t>
  </si>
  <si>
    <t>=IFERROR(-1*[@[DEBIT AMOUNT CCY]]*[@[FOREX CCY-RWF]],0)</t>
  </si>
  <si>
    <t>=IF([@[CASHFLOW SIGN]]&lt;0,1,0)</t>
  </si>
  <si>
    <t>=IF([@[CASHFLOW SIGN]]&gt;0,1,0)</t>
  </si>
  <si>
    <t>CASHFLOW KEY</t>
  </si>
  <si>
    <t>=UPPER(CONCATENATE([@[TRANSACTION TYPE]],[@[TRANSACTION ORIGIN]]))</t>
  </si>
  <si>
    <t>=IFERROR(VLOOKUP([@[CASHFLOW KEY]],tbl_tobecalculated,4,0),IF([@[TRANSACTION MONEY OUT]]&gt;0,-1,1))</t>
  </si>
  <si>
    <t>RRAdsc EXPORT V01</t>
  </si>
  <si>
    <t>tbl_RRAdsc_Export01</t>
  </si>
  <si>
    <t>Export RRAdsc Summary</t>
  </si>
  <si>
    <t>pvt_RRAdsc_Export01_summary</t>
  </si>
  <si>
    <t>Summary of EXPORT data</t>
  </si>
  <si>
    <t>DECLARATION NUMBER</t>
  </si>
  <si>
    <t>Nb of Exports</t>
  </si>
  <si>
    <t>NUMBER OF PACKAGES</t>
  </si>
  <si>
    <t>Nb of PACKAGES</t>
  </si>
  <si>
    <t>NET WEIGHT</t>
  </si>
  <si>
    <t>WEIGHT</t>
  </si>
  <si>
    <t>CIF AMOUNT</t>
  </si>
  <si>
    <t>AMOUNT (CIF)</t>
  </si>
  <si>
    <t>FOB AMOUNT</t>
  </si>
  <si>
    <t>AMOUNT (FOB)</t>
  </si>
  <si>
    <t>HS CODE</t>
  </si>
  <si>
    <t>PRODUCT MARK1</t>
  </si>
  <si>
    <t>PRODUCT</t>
  </si>
  <si>
    <t>DHEgrp-Payment</t>
  </si>
  <si>
    <t>tbl_DHEgrp_Payment</t>
  </si>
  <si>
    <t>DHE Pay-Out Summary</t>
  </si>
  <si>
    <t>pvt_DHEgrp_Payment_summary</t>
  </si>
  <si>
    <t>Summary of PAYMENT OUT</t>
  </si>
  <si>
    <t>RRAdsc PURCHASES-SALES V03</t>
  </si>
  <si>
    <t>DataSc PurchSales03 Summary</t>
  </si>
  <si>
    <t>pvt_RRAdsc_PurchSales03_summary</t>
  </si>
  <si>
    <t>tbl_RRAdsc_PurchasesSales03</t>
  </si>
  <si>
    <t>SIGNED QUANTITY</t>
  </si>
  <si>
    <t>PRODUCT CATEGORY</t>
  </si>
  <si>
    <t>FS CATEGORY</t>
  </si>
  <si>
    <t>TBD</t>
  </si>
  <si>
    <t>STOCK ITEM</t>
  </si>
  <si>
    <t>=IF([@[TRANSACTION CATEGORY]]="PURCHASES",1,-1)*[@[ITEM QUANTITY]]</t>
  </si>
  <si>
    <t>FS (Financial Statement) CATEGORY</t>
  </si>
  <si>
    <t>PRODUCT NAME</t>
  </si>
  <si>
    <t>ADJUSTED QUANTITY</t>
  </si>
  <si>
    <t>VALUE (VAT included)</t>
  </si>
  <si>
    <t>Ebm Salesdetails-V20 Summary</t>
  </si>
  <si>
    <t>pvt_Ebmbo20_Sales_summary</t>
  </si>
  <si>
    <t>Ebm Salesdetails-V21 Summary</t>
  </si>
  <si>
    <t>EBM BO SALES DETAILS V20</t>
  </si>
  <si>
    <t>=[@[SDC NO]]</t>
  </si>
  <si>
    <t>tbl_Ebmbo20_Salesdetails</t>
  </si>
  <si>
    <t>FINDAP REPORT 1st ROW TITLE</t>
  </si>
  <si>
    <t>=TEXT([@[TRANSACTION DATE]],"MM.MMM")</t>
  </si>
  <si>
    <t>HAS EBM</t>
  </si>
  <si>
    <t>=IF(UPPER([@[EBM REFERENCES]])="MISSING","NO","YES")</t>
  </si>
  <si>
    <t>INTERNALLY USED</t>
  </si>
  <si>
    <t>=IF(ISNUMBER(FIND("USED",UPPER([@[INVOICE NOTES]]),1)),"YES","NO")</t>
  </si>
  <si>
    <t>DHE-Sales EBM status</t>
  </si>
  <si>
    <t>pvt_DHEgroupsalesbyEbmstatus</t>
  </si>
  <si>
    <t>Summary of DHE GROUP SALES by EBM Status</t>
  </si>
  <si>
    <t>=[@[TRANSACTION DATE]]</t>
  </si>
  <si>
    <t>DHE-SalesExcel3 by Product</t>
  </si>
  <si>
    <t>pvt_DHESalesExcel03byproduct</t>
  </si>
  <si>
    <t>Summary of DHE GROUP SALES from Excel files - Sales by Product</t>
  </si>
  <si>
    <t>ITEM EBM CODE</t>
  </si>
  <si>
    <t>HAS PAYMT REF</t>
  </si>
  <si>
    <t>=IF(ISBLANK([@[PAYMENT REFERENCE]]),"NO PYMT","HAS PYMT REF")</t>
  </si>
  <si>
    <t>Decl_VATsales</t>
  </si>
  <si>
    <t>Decl_VATlocalpurchases</t>
  </si>
  <si>
    <t>Decl_VATImportation</t>
  </si>
  <si>
    <t>VAT ANNEXURE IMPORTATION V20</t>
  </si>
  <si>
    <t>VAT ANNEXURE IMPORTATION V21</t>
  </si>
  <si>
    <t>tbl_EbmVatannex_Purchases</t>
  </si>
  <si>
    <t>tbl_EbmVatannex_Sales</t>
  </si>
  <si>
    <t>tbl_EbmVatannex_Import20</t>
  </si>
  <si>
    <t>tbl_EbmVatannex_Import21</t>
  </si>
  <si>
    <t>tbl_EtaxVatannex_Sales</t>
  </si>
  <si>
    <t>tbl_EtaxVatannex_Purchases</t>
  </si>
  <si>
    <t>tbl_EtaxVatannex_Import</t>
  </si>
  <si>
    <t>-</t>
  </si>
  <si>
    <t>PAYMENT REFERENCE</t>
  </si>
  <si>
    <t>ETAX AMOUNT WITHOUT VAT</t>
  </si>
  <si>
    <t>=IF(exist_tbl_EtaxVatannex_Sales,SUMIFS(tbl_EtaxVatannex_Sales[Total Amount of Sales],tbl_EtaxVatannex_Sales[Invoice Number],[@[RECEIPT NUMBER]]),0)</t>
  </si>
  <si>
    <t>ETAX VAT AMOUNT</t>
  </si>
  <si>
    <t>=IF(exist_tbl_EtaxVatannex_Sales,SUMIFS(tbl_EtaxVatannex_Sales[VAT],tbl_EtaxVatannex_Sales[Invoice Number],[@[RECEIPT NUMBER]]),0)</t>
  </si>
  <si>
    <t>ETAX AMOUNT VAT INCLUSIVE</t>
  </si>
  <si>
    <t>=[@[ETAX AMOUNT WITHOUT VAT]]+[@[ETAX VAT AMOUNT]]</t>
  </si>
  <si>
    <t>DIFFERENCE AMOUNT WITHOUT VAT</t>
  </si>
  <si>
    <t>=[@[AMOUNT SALES WITHOUT VAT]]-[@[ETAX AMOUNT WITHOUT VAT]]</t>
  </si>
  <si>
    <t>DIFFERENCE VAT AMOUNT</t>
  </si>
  <si>
    <t>=[@[VAT AMOUNT]]-[@[ETAX VAT AMOUNT]]</t>
  </si>
  <si>
    <t>DIFFERENCE AMOUNT VAT INCLUSIVE</t>
  </si>
  <si>
    <t>=[@[AMOUNT SALES WITHOUT VAT]]+[@[VAT AMOUNT]]-[@[ETAX AMOUNT VAT INCLUSIVE]]</t>
  </si>
  <si>
    <t>COMPARISON COMMENT</t>
  </si>
  <si>
    <t>=IF(exist_tbl_EtaxVatannex_Purchases,SUMIFS(tbl_EtaxVatannex_Purchases[Value(Without VAT)],tbl_EtaxVatannex_Purchases[Invoice Number],[@[RECEIPT NUMBER]]),0)</t>
  </si>
  <si>
    <t>=IF(exist_tbl_EtaxVatannex_Purchases,SUMIFS(tbl_EtaxVatannex_Purchases[VAT],tbl_EtaxVatannex_Purchases[Invoice Number],[@[RECEIPT NUMBER]]),0)</t>
  </si>
  <si>
    <t>=[@[AMOUNT WITHOUT VAT]]-[@[ETAX AMOUNT WITHOUT VAT]]</t>
  </si>
  <si>
    <t>=[@[AMOUNT WITHOUT VAT]]+[@[VAT AMOUNT]]-[@[ETAX AMOUNT VAT INCLUSIVE]]</t>
  </si>
  <si>
    <t>Diff Amount without VAT (EBM-ETAX)</t>
  </si>
  <si>
    <t>Diff VAT Amount (EBM-ETAX)</t>
  </si>
  <si>
    <t>Diff Amount Vat included (EBM-ETAX)</t>
  </si>
  <si>
    <t>=TEXT([@[Invoice Date]],"YYYY")</t>
  </si>
  <si>
    <t>=TEXT([@[Invoice Date]],"YYYY-MM")</t>
  </si>
  <si>
    <t>=TEXT([@[Invoice Date]],"MM-MMM")</t>
  </si>
  <si>
    <t>=TEXT([@[Invoice Date]],"DD")</t>
  </si>
  <si>
    <t>=IF(exist_tbl_EbmVatannex_Sales,SUMIFS(tbl_EbmVatannex_Sales[AMOUNT SALES WITHOUT VAT],tbl_EbmVatannex_Sales[RECEIPT NUMBER],[@[Invoice Number]]),0)</t>
  </si>
  <si>
    <t>=IF(exist_tbl_EbmVatannex_Sales,SUMIFS(tbl_EbmVatannex_Sales[VAT AMOUNT],tbl_EbmVatannex_Sales[RECEIPT NUMBER],[@[Invoice Number]]),0)</t>
  </si>
  <si>
    <t>=IF(exist_tbl_EbmVatannex_Purchases,SUMIFS(tbl_EbmVatannex_Purchases[AMOUNT WITHOUT VAT],tbl_EbmVatannex_Purchases[RECEIPT NUMBER],[@[Invoice Number]]),0)</t>
  </si>
  <si>
    <t>=IF(exist_tbl_EbmVatannex_Purchases,SUMIFS(tbl_EbmVatannex_Purchases[VAT AMOUNT],tbl_EbmVatannex_Purchases[RECEIPT NUMBER],[@[Invoice Number]]),0)</t>
  </si>
  <si>
    <t>Ebm-Etax (Purchases)</t>
  </si>
  <si>
    <t>pvt_EbmvsEtax_Purchases</t>
  </si>
  <si>
    <t>Ebm-Etax (Sales)</t>
  </si>
  <si>
    <t>pvt_EbmvsEtax_Sales</t>
  </si>
  <si>
    <t>Diff Amt without VAT</t>
  </si>
  <si>
    <t>Diff VAT Amount</t>
  </si>
  <si>
    <t>Diff Amount Vat included</t>
  </si>
  <si>
    <t>RECEIPT NUMBER</t>
  </si>
  <si>
    <t>TABLE NAME</t>
  </si>
  <si>
    <t>TABLE EXIST</t>
  </si>
  <si>
    <t>EBM AMOUNT WITHOUT VAT</t>
  </si>
  <si>
    <t>EBM VAT AMOUNT</t>
  </si>
  <si>
    <t>EBM AMOUNT VAT INCLUSIVE</t>
  </si>
  <si>
    <t>=[@[EBM AMOUNT WITHOUT VAT]]+[@[EBM VAT AMOUNT]]</t>
  </si>
  <si>
    <t>=[@[Total Amount of Sales]]-[@[EBM AMOUNT WITHOUT VAT]]</t>
  </si>
  <si>
    <t>=[@[VAT]]-[@[EBM VAT AMOUNT]]</t>
  </si>
  <si>
    <t>=[@[Total Amount of Sales]]+[@[VAT]]-[@[EBM AMOUNT VAT INCLUSIVE]]</t>
  </si>
  <si>
    <t>=[@[Value(Without VAT)]]-[@[EBM AMOUNT WITHOUT VAT]]</t>
  </si>
  <si>
    <t>=[@[Value(Without VAT)]]+[@[VAT]]-[@[EBM AMOUNT VAT INCLUSIVE]]</t>
  </si>
  <si>
    <t>UNKNOWN</t>
  </si>
  <si>
    <t>COMPARISON BETWEEN EBM &amp;&amp; ETAX - Local PURCHASES</t>
  </si>
  <si>
    <t>COMPARISON BETWEEN EBM &amp;&amp; ETAX - SALES</t>
  </si>
  <si>
    <t>Etax-Ebm (Purchases)</t>
  </si>
  <si>
    <t>pvt_EtaxvsEbm_Purchases</t>
  </si>
  <si>
    <t>COMPARISON BETWEEN ETAX &amp;&amp; EBM - Local PURCHASES</t>
  </si>
  <si>
    <t>Etax-Ebm (Sales)</t>
  </si>
  <si>
    <t>pvt_EtaxvsEbm_Sales</t>
  </si>
  <si>
    <t>COMPARISON BETWEEN ETAX &amp;&amp; EBM - SALES</t>
  </si>
  <si>
    <t>Invoice Number</t>
  </si>
  <si>
    <t>Supplier Tin</t>
  </si>
  <si>
    <t>SUPPLIER-TIN</t>
  </si>
  <si>
    <t>Supplier Name</t>
  </si>
  <si>
    <t>SUPPLIER-NAME</t>
  </si>
  <si>
    <t>Tin</t>
  </si>
  <si>
    <t>BUYER-TIN</t>
  </si>
  <si>
    <t>Buyer Name</t>
  </si>
  <si>
    <t>BUYER-NAME</t>
  </si>
  <si>
    <t>=[@[SDC ID]]&amp;"/"&amp;[@[RECEIPT NUMBER (SDC)]]</t>
  </si>
  <si>
    <t>TOTAL AMOUNT PER INVOICE (WITHOUT VAT)</t>
  </si>
  <si>
    <t>=SUMIFS([AMOUNT WITHOUT VAT],[RECEIPT NUMBER],[@[RECEIPT NUMBER]])/COUNTIFS([RECEIPT NUMBER],[@[RECEIPT NUMBER]])</t>
  </si>
  <si>
    <t>TOTAL AMOUNT PER INVOICE IN EBM BO (WITHOUT VAT)</t>
  </si>
  <si>
    <t>=IFERROR(SUMIFS(tbl_EbmVatannex_Sales[AMOUNT SALES WITHOUT VAT],tbl_EbmVatannex_Sales[RECEIPT NUMBER],[@[RECEIPT NUMBER]])/COUNTIFS([RECEIPT NUMBER],[@[RECEIPT NUMBER]]),0)</t>
  </si>
  <si>
    <t>DIFFERENCE ZREPORT-EBM BO</t>
  </si>
  <si>
    <t>=([@[TOTAL AMOUNT PER INVOICE (WITHOUT VAT)]]-[@[TOTAL AMOUNT PER INVOICE IN EBM BO (WITHOUT VAT)]])/COUNTIFS([RECEIPT NUMBER],[@[RECEIPT NUMBER]])</t>
  </si>
  <si>
    <t>CHECK EBM BO</t>
  </si>
  <si>
    <t>=IF(ISERROR(VLOOKUP([@[RECEIPT NUMBER]],tbl_EbmVatannex_Sales[RECEIPT NUMBER],1,0)),"MISSING IN EBM BO","EXISTS IN EBM BO")</t>
  </si>
  <si>
    <t>=SUMIFS(tbl_EbmVatannex_Sales[AMOUNT SALES WITHOUT VAT],tbl_EbmVatannex_Sales[RECEIPT NUMBER],[@[RECEIPT NUMBER]])/COUNTIFS([RECEIPT NUMBER],[@[RECEIPT NUMBER]])</t>
  </si>
  <si>
    <t>=SUMIFS(tbl_EbmVatannex_Sales[VAT AMOUNT],tbl_EbmVatannex_Sales[RECEIPT NUMBER],[@[RECEIPT NUMBER]])/COUNTIFS([RECEIPT NUMBER],[@[RECEIPT NUMBER]])</t>
  </si>
  <si>
    <t>=([@[TOTAL AMOUNT PER INVOICE (WITHOUT VAT)]]-[@[EBM AMOUNT WITHOUT VAT]])</t>
  </si>
  <si>
    <t>=[@[DIFFERENCE AMOUNT WITHOUT VAT]]+[@[DIFFERENCE VAT AMOUNT]]</t>
  </si>
  <si>
    <t>COUNT INVOICES</t>
  </si>
  <si>
    <t>=1/COUNTIFS([RECEIPT NUMBER],[@[RECEIPT NUMBER]])</t>
  </si>
  <si>
    <t>Ebm BO-Zreport (Sales)</t>
  </si>
  <si>
    <t>pvt_EbmBOvsZreport_Sales</t>
  </si>
  <si>
    <t>COMPARISON BETWEEN EBM Backoffice &amp;&amp; Z report - SALES</t>
  </si>
  <si>
    <t>CHECK COMMENT</t>
  </si>
  <si>
    <t>EBM SALES Z-REPORT DTL V20</t>
  </si>
  <si>
    <t>OPERATION TYPE</t>
  </si>
  <si>
    <t>OPERATION TYPE
(NS =Normal SALE ;
 NR = Normal REFUND)</t>
  </si>
  <si>
    <t>=IF([@[OPERATION TYPE]]="NR",-1,1)*([@[AMOUNT VAT INCLUDED]]-[@[VAT AMOUNT]])</t>
  </si>
  <si>
    <t>=IF([@[OPERATION TYPE]]="NR",-1,1)*(SUMIFS([VAT AMOUNT],[RECEIPT NUMBER],[@[RECEIPT NUMBER]])/COUNTIFS([RECEIPT NUMBER],[@[RECEIPT NUMBER]]))-[@[EBM VAT AMOUNT]]</t>
  </si>
  <si>
    <t>=IF(AND([@[ETAX AMOUNT WITHOUT VAT]]=0,[@[DIFFERENCE AMOUNT WITHOUT VAT]]&lt;&gt;0,[@[VAT AMOUNT]]&lt;&gt;0),"MISSING IN ETAX (having VAT)",IF(AND([@[ETAX AMOUNT WITHOUT VAT]]=0,[@[DIFFERENCE AMOUNT WITHOUT VAT]]&lt;&gt;0,[@[VAT AMOUNT]]=0),"MISSING IN ETAX (not having VAT)",IF(ABS([@[DIFFERENCE AMOUNT WITHOUT VAT]])&gt;10,"INVOICE HAS DIFFERENT AMOUNT IN EBM &amp; ETAX",IF(ABS([@[DIFFERENCE VAT AMOUNT]])&gt;10,"INVOICE HAS DIFFERENT VAT AMOUNT IN EBM &amp; ETAX","OK"))))</t>
  </si>
  <si>
    <t>=IF(AND([@[EBM AMOUNT WITHOUT VAT]]=0,[@[DIFFERENCE AMOUNT WITHOUT VAT]]&lt;&gt;0,[@[VAT]]&lt;&gt;0),"MISSING IN EBM (having VAT)",IF(AND([@[EBM AMOUNT WITHOUT VAT]]=0,[@[DIFFERENCE AMOUNT WITHOUT VAT]]&lt;&gt;0,[@[VAT]]=0),"MISSING IN EBM (not having VAT)",IF(ABS([@[DIFFERENCE AMOUNT WITHOUT VAT]])&gt;10,"INVOICE HAS DIFFERENT AMOUNT IN ETAX &amp; EBM",IF(ABS([@[DIFFERENCE VAT AMOUNT]])&gt;10,"INVOICE HAS DIFFERENT VAT IN ETAX &amp; EBM","OK"))))</t>
  </si>
  <si>
    <t>=IF(AND([@[EBM AMOUNT WITHOUT VAT]]=0,[@[DIFFERENCE AMOUNT WITHOUT VAT]]&lt;&gt;0,[@[VAT AMOUNT]]&lt;&gt;0),"MISSING IN EBM (having VAT)",IF(AND([@[EBM AMOUNT WITHOUT VAT]]=0,[@[DIFFERENCE AMOUNT WITHOUT VAT]]&lt;&gt;0,[@[VAT AMOUNT]]=0),"MISSING IN EBM (not having VAT)",IF(ABS([@[DIFFERENCE AMOUNT WITHOUT VAT]])&gt;10,"INVOICE HAS DIFFERENT AMOUNT IN Z-REPORT &amp; EBM BO",IF(ABS([@[DIFFERENCE VAT AMOUNT]])&gt;10,"INVOICE HAS DIFFERENT VAT IN Z-REPORT &amp; EBM BO","OK"))))</t>
  </si>
  <si>
    <t>2;62</t>
  </si>
  <si>
    <t>2;60</t>
  </si>
  <si>
    <t>2;70</t>
  </si>
  <si>
    <t>Ebm_VatAnnex Sales</t>
  </si>
  <si>
    <t>Ebm_VatAnnex Purchases</t>
  </si>
  <si>
    <t>Ebm_VatAnnex SALES V20</t>
  </si>
  <si>
    <t>Ebm_VatAnnex PURCHASES V20</t>
  </si>
  <si>
    <t>Ebm_VatAnnex SALES V21</t>
  </si>
  <si>
    <t>Ebm_VatAnnex PURCHASES V21</t>
  </si>
  <si>
    <t>Ebm_VatAnnex IMPORTATION V20</t>
  </si>
  <si>
    <t>Ebm_VatAnnex IMPORTATION V21</t>
  </si>
  <si>
    <t>Etax_VATsales</t>
  </si>
  <si>
    <t>Etax_VATlocalpurchases</t>
  </si>
  <si>
    <t>Etax_VATImportation</t>
  </si>
  <si>
    <t>Cashbook Tropi</t>
  </si>
  <si>
    <t>TOTAL CASH OUT</t>
  </si>
  <si>
    <t>tbl_Cashbook_Tropi</t>
  </si>
  <si>
    <t>Cashbook summary (Tropi)</t>
  </si>
  <si>
    <t>pvt_Cashbook_Tropi</t>
  </si>
  <si>
    <t>TROPI WANDA Ltd : SUMMARY CASHBOOK TRANSACTIONS</t>
  </si>
  <si>
    <t>CASH OUT PLANTATION</t>
  </si>
  <si>
    <t>CASH OUT ADMINISTRATION</t>
  </si>
  <si>
    <t>CASH OUT NON BUDGET CONSUMPTION</t>
  </si>
  <si>
    <t>CASH OUT-SHIPMENT</t>
  </si>
  <si>
    <t>CASH OUT-PLANTATION</t>
  </si>
  <si>
    <t>CASH OUT-ADMINISTRATION</t>
  </si>
  <si>
    <t>CASH OUT-NON BUDGET CONSUMPTION</t>
  </si>
  <si>
    <t>CASH OUT TOTAL</t>
  </si>
  <si>
    <t>CASH-IN</t>
  </si>
  <si>
    <t>=IF([@[TOTAL CASH OUT]]&gt;0,1,0)</t>
  </si>
  <si>
    <t>=IF([@[CASH IN]]&gt;0,1,0)</t>
  </si>
  <si>
    <t>=[@[CASH OUT FOR SHIPMENT]]+[@[CASH OUT PLANTATION]]+[@[CASH OUT ADMINISTRATION]]+[@[CASH OUT NON BUDGET CONSUMPTION]]</t>
  </si>
  <si>
    <t>CASH OUT FOR SHIPMENT</t>
  </si>
  <si>
    <t>STOCK GROUP</t>
  </si>
  <si>
    <t>ITEM STOCK GROUP</t>
  </si>
  <si>
    <t>=[@[ITEM NAME]]</t>
  </si>
  <si>
    <t>Summary by month</t>
  </si>
  <si>
    <t>pvt_Summarybymonth</t>
  </si>
  <si>
    <t>Payroll-Wht summary</t>
  </si>
  <si>
    <t>pvt_CombinedPayrollwht</t>
  </si>
  <si>
    <t>ORIGIN-CATEGORY</t>
  </si>
  <si>
    <t>Combined Payroll-Wht</t>
  </si>
  <si>
    <t>tbl_CombinedPayrollwht</t>
  </si>
  <si>
    <t>SUMMARY BY MONTH</t>
  </si>
  <si>
    <t>SUMMARY PAYROLL &amp;&amp; WHT EXPENSES</t>
  </si>
  <si>
    <t>GROSS AMOUNT</t>
  </si>
  <si>
    <t>RSSB (EMPLOYER)</t>
  </si>
  <si>
    <t>RSSB-EMPLOYER</t>
  </si>
  <si>
    <t>RAMA (EMPLOYER)</t>
  </si>
  <si>
    <t>RAMA-EMPLOYER</t>
  </si>
  <si>
    <t>TOTAL EXPENSE AMOUNT</t>
  </si>
  <si>
    <t>TOTAL EXPENSES</t>
  </si>
  <si>
    <t>Ebm pos Summary (Purch Zreport)</t>
  </si>
  <si>
    <t>pvt_Ebmpos_Zreport_Purch</t>
  </si>
  <si>
    <t>EBM pos SALES Zreport DTL V21</t>
  </si>
  <si>
    <t>EBM pos PURCH Zreport V21</t>
  </si>
  <si>
    <t>=[@[AMOUNT VAT INCLUDED]]-[@[VAT AMOUNT]]</t>
  </si>
  <si>
    <t>tbl_EbmposSales_Zreport</t>
  </si>
  <si>
    <t>tbl_Ebmpos_Zreport_Purch</t>
  </si>
  <si>
    <t>SUMMARY of PURCHASES from EBM POS Device</t>
  </si>
  <si>
    <t>REMUNERATION (Gross Amount)</t>
  </si>
  <si>
    <t>INTERNAL INVOICE NUMBER</t>
  </si>
  <si>
    <t>AMOUNT VAT INCLUDED</t>
  </si>
  <si>
    <t>IS SALE</t>
  </si>
  <si>
    <t>=IF(AND(IFERROR(NUMBERVALUE([@QUANTITY]),0)&lt;&gt;0,IFERROR(NUMBERVALUE([@[UNIT PRICE]]),0)&lt;&gt;0),"IS A SALE","IS NOT A SALE")</t>
  </si>
  <si>
    <t>EXPORT COUNTRY NAME</t>
  </si>
  <si>
    <t>imported QUANTITY</t>
  </si>
  <si>
    <t>NET-WEIGHT</t>
  </si>
  <si>
    <t>INVOICE VALUE (RWF)</t>
  </si>
  <si>
    <t>INVOICE VALUE (in RWF)</t>
  </si>
  <si>
    <t>HS-CODE</t>
  </si>
  <si>
    <t>ITEM-NAME</t>
  </si>
  <si>
    <t>QUANTITY UNIT CODE</t>
  </si>
  <si>
    <t>Qnty Unit CODE</t>
  </si>
  <si>
    <t>SUMMARY of IMPORTATION DATA from EBM computer device</t>
  </si>
  <si>
    <t>=[@[INVOICE FOREIGN CURRENCY AMOUNT]]*[@[INVOICE FOREIGN CURRENCY EXCHANGE RATE]]</t>
  </si>
  <si>
    <t>Ebmdvc Summary (Import details)</t>
  </si>
  <si>
    <t>pvt_Ebmpos_details_Import</t>
  </si>
  <si>
    <t>ITEM STATUS</t>
  </si>
  <si>
    <t>STATUS in EBM</t>
  </si>
  <si>
    <t>Ebmdvc Summary (Purch details)</t>
  </si>
  <si>
    <t>pvt_Ebmpos_details_Purch</t>
  </si>
  <si>
    <t>PURCHASES STATUS</t>
  </si>
  <si>
    <t>Ebmdvc IMPORT details V21</t>
  </si>
  <si>
    <t>Ebmdvc PURCH details V21</t>
  </si>
  <si>
    <t>=[@[TOTAL AMOUNT]]-[@[TAX AMOUNT]]</t>
  </si>
  <si>
    <t>=[@[TAX AMOUNT]]</t>
  </si>
  <si>
    <t>=[@[TOTAL AMOUNT]]</t>
  </si>
  <si>
    <t>=1/COUNTIFS([INVOICE SER NUMBER],[@[INVOICE SER NUMBER]])</t>
  </si>
  <si>
    <t>tbl_Ebmpos_details_Import</t>
  </si>
  <si>
    <t>tbl_Ebmpos_details_Purch</t>
  </si>
  <si>
    <t>SUMMARY of detailed local PURCHASES DATA from EBM computer device</t>
  </si>
  <si>
    <t>Purchased QUANTITY</t>
  </si>
  <si>
    <t>ITEM-CODE</t>
  </si>
  <si>
    <t>UNIT PRICE</t>
  </si>
  <si>
    <t>=IFERROR(SUMIFS(tbl_Bnrforex_02[RWF FOREX AVERAGE],tbl_Bnrforex_02[CURRENCY],[@[TRANSACTION CURRENCY]],tbl_Bnrforex_02[TRANSACTION DATE],[@[TRANSACTION DATE]])/COUNTIFS(tbl_Bnrforex_02[CURRENCY],[@[TRANSACTION CURRENCY]],tbl_Bnrforex_02[TRANSACTION DATE],[@[TRANSACTION DATE]]),1)</t>
  </si>
  <si>
    <t>BNR FOREX V02</t>
  </si>
  <si>
    <t>tbl_Bnrforex_02</t>
  </si>
  <si>
    <t>Findap Combined GlobalAnalysis</t>
  </si>
  <si>
    <t>Findap Combined PAYROLL-WHT</t>
  </si>
  <si>
    <t>Findap Combined RRAdsc</t>
  </si>
  <si>
    <t>Findap Combined Cashflowdata</t>
  </si>
  <si>
    <t>GAVI BUDGET_V02</t>
  </si>
  <si>
    <t>tbl_Gavibudget_02</t>
  </si>
  <si>
    <t>pvt_Gavibudget_02</t>
  </si>
  <si>
    <t>Budget Summary</t>
  </si>
  <si>
    <t>SUMMARY of BUDGET</t>
  </si>
  <si>
    <t>FUNDS RECIPIENT</t>
  </si>
  <si>
    <t>TOTAL BUDGET AMOUNT</t>
  </si>
  <si>
    <t>Pct (relative)</t>
  </si>
  <si>
    <t>TOTAL BUDGET</t>
  </si>
  <si>
    <t>GAVI BUDGET AMOUNT</t>
  </si>
  <si>
    <t>GAVI BUDGET</t>
  </si>
  <si>
    <t>GOVT BUDGET AMOUNT</t>
  </si>
  <si>
    <t>GOVT BUDGET</t>
  </si>
  <si>
    <t>PARTNERS BUDGET AMOUNT</t>
  </si>
  <si>
    <t>PERTNERS BUDGET</t>
  </si>
  <si>
    <t>GAVI PSC-OTHER BUDGET AMOUNT</t>
  </si>
  <si>
    <t>OTHER BUDGET</t>
  </si>
  <si>
    <t>COST GROUPING</t>
  </si>
  <si>
    <t>COST INPUT</t>
  </si>
  <si>
    <t>COST GROUP</t>
  </si>
  <si>
    <t>COST-INPUT</t>
  </si>
  <si>
    <t>ACTIVITY DESCRIPTION</t>
  </si>
  <si>
    <t>ACTIVITIES DESCRIPTION</t>
  </si>
  <si>
    <t>Source File</t>
  </si>
  <si>
    <t>SOURCE OF FUNDS</t>
  </si>
  <si>
    <t>OUTCOME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</si>
</sst>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ddd\ dd\-mmm\-yyyy"/>
    <numFmt numFmtId="165" formatCode="#,##0;[Red]\(#,##0\);\-"/>
    <numFmt numFmtId="166" formatCode="#,##0.0_ ;[Red]\-#,##0.0\ "/>
    <numFmt numFmtId="167" formatCode="#,##0_ ;[Red]\(#,##0\);\-"/>
  </numFmts>
  <fonts count="2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masis MT Pro"/>
      <family val="1"/>
    </font>
    <font>
      <sz val="10"/>
      <color theme="0"/>
      <name val="Amasis MT Pro"/>
      <family val="1"/>
    </font>
    <font>
      <sz val="10"/>
      <color rgb="FF00B0F0"/>
      <name val="Amasis MT Pro"/>
      <family val="1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Amasis MT Pro"/>
      <family val="1"/>
    </font>
    <font>
      <b/>
      <sz val="11"/>
      <color theme="0"/>
      <name val="Amasis MT Pro"/>
      <family val="1"/>
    </font>
    <font>
      <b/>
      <sz val="15"/>
      <color theme="1"/>
      <name val="Amasis MT Pro"/>
      <family val="1"/>
    </font>
    <font>
      <b/>
      <sz val="14"/>
      <color theme="0"/>
      <name val="Amasis MT Pro"/>
      <family val="1"/>
    </font>
    <font>
      <sz val="14"/>
      <color theme="1"/>
      <name val="Amasis MT Pro"/>
      <family val="1"/>
    </font>
    <font>
      <b/>
      <sz val="14"/>
      <color rgb="FF0000C8"/>
      <name val="Amasis MT Pro"/>
      <family val="1"/>
    </font>
    <font>
      <sz val="18"/>
      <color theme="1"/>
      <name val="Amasis MT Pro"/>
      <family val="1"/>
    </font>
    <font>
      <b/>
      <sz val="18"/>
      <color rgb="FF0000C8"/>
      <name val="Amasis MT Pro"/>
      <family val="1"/>
    </font>
    <font>
      <b/>
      <sz val="14"/>
      <color rgb="FF000000"/>
      <name val="Amasis MT Pro"/>
      <family val="1"/>
    </font>
    <font>
      <b/>
      <sz val="10"/>
      <color rgb="FF0000FF"/>
      <name val="Amasis MT Pro"/>
      <family val="1"/>
    </font>
    <font>
      <b/>
      <sz val="11"/>
      <color theme="1"/>
      <name val="Amasis MT Pro"/>
      <family val="1"/>
    </font>
    <font>
      <b/>
      <sz val="12"/>
      <color theme="0"/>
      <name val="Amasis MT Pro"/>
      <family val="1"/>
    </font>
    <font>
      <b/>
      <sz val="10"/>
      <color rgb="FF0000C8"/>
      <name val="Amasis MT Pro"/>
      <family val="1"/>
    </font>
    <font>
      <b/>
      <sz val="12"/>
      <color theme="1"/>
      <name val="Amasis MT Pro"/>
      <family val="1"/>
    </font>
    <font>
      <b/>
      <sz val="11"/>
      <name val="Amasis MT Pro"/>
      <family val="1"/>
    </font>
    <font>
      <sz val="11"/>
      <color rgb="FF000000"/>
      <name val="Amasis MT Pro"/>
      <family val="1"/>
    </font>
    <font>
      <b/>
      <sz val="13"/>
      <color rgb="FF0000FF"/>
      <name val="Amasis MT Pro Light"/>
      <family val="1"/>
    </font>
    <font>
      <b/>
      <i/>
      <sz val="14"/>
      <color rgb="FF008000"/>
      <name val="Amasis MT Pro"/>
      <family val="1"/>
    </font>
    <font>
      <b/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name val="Amasis MT Pro"/>
      <family val="1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theme="4" tint="0.79998168889431442"/>
      </patternFill>
    </fill>
    <fill>
      <patternFill patternType="solid">
        <fgColor theme="8" tint="0.59999389629810485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9.9978637043366805E-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0" tint="-0.34998626667073579"/>
        <bgColor theme="4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auto="1"/>
        <bgColor indexed="64"/>
      </patternFill>
    </fill>
    <fill>
      <patternFill patternType="solid">
        <fgColor auto="1"/>
        <bgColor theme="4" tint="0.79998168889431442"/>
      </patternFill>
    </fill>
  </fills>
  <borders count="67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 style="double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 style="double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/>
      <diagonal/>
    </border>
    <border>
      <left style="thin">
        <color rgb="FF000000"/>
      </left>
      <right style="double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double">
        <color rgb="FF000000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theme="4" tint="0.3999755851924192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/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auto="1"/>
      </right>
      <top style="thin">
        <color theme="4" tint="0.39997558519241921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theme="4" tint="0.3999755851924192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theme="4" tint="0.39997558519241921"/>
      </bottom>
      <diagonal/>
    </border>
    <border>
      <left style="thin">
        <color auto="1"/>
      </left>
      <right style="double">
        <color auto="1"/>
      </right>
      <top/>
      <bottom style="thin">
        <color theme="4" tint="0.39997558519241921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31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0" xfId="0" applyFont="1"/>
    <xf numFmtId="0" fontId="3" fillId="2" borderId="0" xfId="0" applyFont="1" applyFill="1"/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3" fillId="0" borderId="0" xfId="0" applyFont="1"/>
    <xf numFmtId="0" fontId="0" fillId="0" borderId="0" xfId="0" applyAlignment="1">
      <alignment wrapText="1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wrapText="1"/>
      <protection locked="0"/>
    </xf>
    <xf numFmtId="164" fontId="9" fillId="0" borderId="16" xfId="0" applyNumberFormat="1" applyFont="1" applyBorder="1" applyAlignment="1" applyProtection="1">
      <alignment horizontal="center" vertical="center"/>
      <protection locked="0"/>
    </xf>
    <xf numFmtId="164" fontId="9" fillId="0" borderId="14" xfId="0" applyNumberFormat="1" applyFont="1" applyBorder="1" applyAlignment="1" applyProtection="1">
      <alignment horizontal="center" vertical="center"/>
      <protection locked="0"/>
    </xf>
    <xf numFmtId="0" fontId="8" fillId="5" borderId="15" xfId="0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Protection="1">
      <protection hidden="1"/>
    </xf>
    <xf numFmtId="0" fontId="7" fillId="0" borderId="0" xfId="0" applyFont="1" applyAlignment="1" applyProtection="1">
      <alignment wrapText="1"/>
      <protection hidden="1"/>
    </xf>
    <xf numFmtId="0" fontId="8" fillId="5" borderId="13" xfId="0" applyFont="1" applyFill="1" applyBorder="1" applyAlignment="1" applyProtection="1">
      <alignment horizontal="center" vertical="center" wrapText="1"/>
      <protection hidden="1"/>
    </xf>
    <xf numFmtId="0" fontId="13" fillId="6" borderId="18" xfId="0" applyFont="1" applyFill="1" applyBorder="1" applyAlignment="1" applyProtection="1">
      <alignment horizontal="left" vertical="center"/>
      <protection hidden="1"/>
    </xf>
    <xf numFmtId="165" fontId="14" fillId="8" borderId="19" xfId="0" applyNumberFormat="1" applyFont="1" applyFill="1" applyBorder="1" applyAlignment="1" applyProtection="1">
      <alignment horizontal="center" vertical="center" wrapText="1"/>
      <protection hidden="1"/>
    </xf>
    <xf numFmtId="165" fontId="14" fillId="8" borderId="19" xfId="1" applyNumberFormat="1" applyFont="1" applyFill="1" applyBorder="1" applyAlignment="1" applyProtection="1">
      <alignment horizontal="center" vertical="center" wrapText="1"/>
      <protection hidden="1"/>
    </xf>
    <xf numFmtId="165" fontId="14" fillId="8" borderId="20" xfId="0" applyNumberFormat="1" applyFont="1" applyFill="1" applyBorder="1" applyAlignment="1" applyProtection="1">
      <alignment horizontal="center" vertical="center" wrapText="1"/>
      <protection hidden="1"/>
    </xf>
    <xf numFmtId="0" fontId="10" fillId="5" borderId="21" xfId="0" applyFont="1" applyFill="1" applyBorder="1" applyAlignment="1">
      <alignment horizontal="center" vertical="center" wrapText="1"/>
    </xf>
    <xf numFmtId="0" fontId="10" fillId="5" borderId="22" xfId="0" applyFont="1" applyFill="1" applyBorder="1" applyAlignment="1">
      <alignment horizontal="center" vertical="center" wrapText="1"/>
    </xf>
    <xf numFmtId="0" fontId="10" fillId="5" borderId="23" xfId="0" applyFont="1" applyFill="1" applyBorder="1" applyAlignment="1">
      <alignment horizontal="center" vertical="center" wrapText="1"/>
    </xf>
    <xf numFmtId="0" fontId="11" fillId="6" borderId="21" xfId="0" applyFont="1" applyFill="1" applyBorder="1" applyAlignment="1">
      <alignment horizontal="left" vertical="center"/>
    </xf>
    <xf numFmtId="165" fontId="12" fillId="7" borderId="22" xfId="0" applyNumberFormat="1" applyFont="1" applyFill="1" applyBorder="1" applyAlignment="1">
      <alignment horizontal="center" vertical="center" wrapText="1"/>
    </xf>
    <xf numFmtId="164" fontId="11" fillId="6" borderId="24" xfId="0" applyNumberFormat="1" applyFont="1" applyFill="1" applyBorder="1" applyAlignment="1">
      <alignment horizontal="center" vertical="center"/>
    </xf>
    <xf numFmtId="164" fontId="11" fillId="6" borderId="25" xfId="0" applyNumberFormat="1" applyFont="1" applyFill="1" applyBorder="1" applyAlignment="1">
      <alignment horizontal="center" vertical="center" wrapText="1"/>
    </xf>
    <xf numFmtId="0" fontId="11" fillId="0" borderId="26" xfId="0" applyFont="1" applyBorder="1" applyAlignment="1">
      <alignment horizontal="left" vertical="center"/>
    </xf>
    <xf numFmtId="165" fontId="12" fillId="4" borderId="24" xfId="0" applyNumberFormat="1" applyFont="1" applyFill="1" applyBorder="1" applyAlignment="1">
      <alignment horizontal="center" vertical="center" wrapText="1"/>
    </xf>
    <xf numFmtId="164" fontId="11" fillId="0" borderId="24" xfId="0" applyNumberFormat="1" applyFont="1" applyBorder="1" applyAlignment="1">
      <alignment horizontal="center" vertical="center"/>
    </xf>
    <xf numFmtId="164" fontId="11" fillId="0" borderId="25" xfId="0" applyNumberFormat="1" applyFont="1" applyBorder="1" applyAlignment="1">
      <alignment horizontal="center" vertical="center" wrapText="1"/>
    </xf>
    <xf numFmtId="0" fontId="11" fillId="6" borderId="27" xfId="0" applyFont="1" applyFill="1" applyBorder="1" applyAlignment="1">
      <alignment horizontal="left" vertical="center"/>
    </xf>
    <xf numFmtId="165" fontId="12" fillId="4" borderId="17" xfId="0" applyNumberFormat="1" applyFont="1" applyFill="1" applyBorder="1" applyAlignment="1">
      <alignment horizontal="center" vertical="center" wrapText="1"/>
    </xf>
    <xf numFmtId="164" fontId="11" fillId="6" borderId="17" xfId="0" applyNumberFormat="1" applyFont="1" applyFill="1" applyBorder="1" applyAlignment="1">
      <alignment horizontal="center" vertical="center"/>
    </xf>
    <xf numFmtId="164" fontId="11" fillId="6" borderId="14" xfId="0" applyNumberFormat="1" applyFont="1" applyFill="1" applyBorder="1" applyAlignment="1">
      <alignment horizontal="center" vertical="center" wrapText="1"/>
    </xf>
    <xf numFmtId="0" fontId="17" fillId="7" borderId="28" xfId="0" applyFont="1" applyFill="1" applyBorder="1" applyAlignment="1">
      <alignment vertical="center"/>
    </xf>
    <xf numFmtId="0" fontId="17" fillId="7" borderId="29" xfId="0" applyFon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0" fontId="7" fillId="10" borderId="31" xfId="0" applyFont="1" applyFill="1" applyBorder="1" applyAlignment="1">
      <alignment horizontal="center" vertical="center" wrapText="1"/>
    </xf>
    <xf numFmtId="0" fontId="18" fillId="5" borderId="33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166" fontId="7" fillId="11" borderId="31" xfId="0" applyNumberFormat="1" applyFont="1" applyFill="1" applyBorder="1" applyAlignment="1">
      <alignment horizontal="center" vertical="center" wrapText="1"/>
    </xf>
    <xf numFmtId="0" fontId="8" fillId="16" borderId="28" xfId="0" applyFont="1" applyFill="1" applyBorder="1" applyAlignment="1">
      <alignment vertical="center"/>
    </xf>
    <xf numFmtId="0" fontId="8" fillId="16" borderId="29" xfId="0" applyFont="1" applyFill="1" applyBorder="1" applyAlignment="1">
      <alignment vertical="center"/>
    </xf>
    <xf numFmtId="0" fontId="8" fillId="16" borderId="30" xfId="0" applyFont="1" applyFill="1" applyBorder="1" applyAlignment="1">
      <alignment vertical="center"/>
    </xf>
    <xf numFmtId="0" fontId="7" fillId="0" borderId="0" xfId="0" applyFont="1"/>
    <xf numFmtId="0" fontId="17" fillId="17" borderId="0" xfId="0" applyFont="1" applyFill="1" applyAlignment="1">
      <alignment vertical="center"/>
    </xf>
    <xf numFmtId="0" fontId="17" fillId="18" borderId="28" xfId="0" applyFont="1" applyFill="1" applyBorder="1" applyAlignment="1">
      <alignment vertical="center"/>
    </xf>
    <xf numFmtId="0" fontId="17" fillId="18" borderId="30" xfId="0" applyFont="1" applyFill="1" applyBorder="1" applyAlignment="1">
      <alignment vertical="center"/>
    </xf>
    <xf numFmtId="0" fontId="7" fillId="18" borderId="0" xfId="0" applyFont="1" applyFill="1"/>
    <xf numFmtId="0" fontId="20" fillId="0" borderId="35" xfId="0" applyFont="1" applyBorder="1" applyAlignment="1">
      <alignment horizontal="center" vertical="center" wrapText="1"/>
    </xf>
    <xf numFmtId="0" fontId="20" fillId="0" borderId="36" xfId="0" applyFont="1" applyBorder="1" applyAlignment="1">
      <alignment horizontal="center" vertical="center" wrapText="1"/>
    </xf>
    <xf numFmtId="0" fontId="20" fillId="0" borderId="37" xfId="0" applyFont="1" applyBorder="1" applyAlignment="1">
      <alignment horizontal="center" vertical="center" wrapText="1"/>
    </xf>
    <xf numFmtId="49" fontId="7" fillId="0" borderId="39" xfId="0" applyNumberFormat="1" applyFont="1" applyBorder="1" applyAlignment="1">
      <alignment horizontal="left" vertical="center"/>
    </xf>
    <xf numFmtId="0" fontId="7" fillId="10" borderId="5" xfId="0" applyFont="1" applyFill="1" applyBorder="1" applyAlignment="1">
      <alignment vertical="center" wrapText="1"/>
    </xf>
    <xf numFmtId="0" fontId="8" fillId="16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/>
    </xf>
    <xf numFmtId="0" fontId="8" fillId="16" borderId="41" xfId="0" applyFont="1" applyFill="1" applyBorder="1" applyAlignment="1">
      <alignment horizontal="left" vertical="center" wrapText="1"/>
    </xf>
    <xf numFmtId="0" fontId="7" fillId="0" borderId="41" xfId="0" applyFont="1" applyBorder="1" applyAlignment="1">
      <alignment horizontal="center" vertical="center"/>
    </xf>
    <xf numFmtId="49" fontId="7" fillId="0" borderId="31" xfId="0" applyNumberFormat="1" applyFont="1" applyBorder="1" applyAlignment="1">
      <alignment horizontal="left" vertical="center"/>
    </xf>
    <xf numFmtId="0" fontId="7" fillId="9" borderId="0" xfId="0" applyFont="1" applyFill="1" applyAlignment="1">
      <alignment vertical="center" wrapText="1"/>
    </xf>
    <xf numFmtId="49" fontId="7" fillId="0" borderId="31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22" fillId="0" borderId="42" xfId="0" applyFont="1" applyBorder="1" applyAlignment="1">
      <alignment horizontal="center" vertical="center" wrapText="1"/>
    </xf>
    <xf numFmtId="0" fontId="22" fillId="0" borderId="43" xfId="0" applyFont="1" applyBorder="1" applyAlignment="1">
      <alignment horizontal="center" vertical="center" wrapText="1"/>
    </xf>
    <xf numFmtId="0" fontId="22" fillId="0" borderId="44" xfId="0" applyFont="1" applyBorder="1" applyAlignment="1">
      <alignment horizontal="center" vertical="center" wrapText="1"/>
    </xf>
    <xf numFmtId="0" fontId="22" fillId="0" borderId="45" xfId="0" applyFont="1" applyBorder="1" applyAlignment="1">
      <alignment horizontal="center" vertical="center" wrapText="1"/>
    </xf>
    <xf numFmtId="0" fontId="22" fillId="0" borderId="46" xfId="0" applyFont="1" applyBorder="1" applyAlignment="1">
      <alignment horizontal="center" vertical="center" wrapText="1"/>
    </xf>
    <xf numFmtId="0" fontId="22" fillId="0" borderId="47" xfId="0" applyFont="1" applyBorder="1" applyAlignment="1">
      <alignment horizontal="center" vertical="center" wrapText="1"/>
    </xf>
    <xf numFmtId="0" fontId="22" fillId="0" borderId="48" xfId="0" applyFont="1" applyBorder="1" applyAlignment="1">
      <alignment horizontal="center" vertical="center" wrapText="1"/>
    </xf>
    <xf numFmtId="0" fontId="22" fillId="0" borderId="49" xfId="0" applyFont="1" applyBorder="1" applyAlignment="1">
      <alignment horizontal="center" vertical="center" wrapText="1"/>
    </xf>
    <xf numFmtId="0" fontId="22" fillId="0" borderId="50" xfId="0" applyFont="1" applyBorder="1" applyAlignment="1">
      <alignment horizontal="center" vertical="center" wrapText="1"/>
    </xf>
    <xf numFmtId="0" fontId="19" fillId="0" borderId="0" xfId="0" applyFont="1" applyAlignment="1">
      <alignment vertical="center" wrapText="1"/>
    </xf>
    <xf numFmtId="0" fontId="19" fillId="0" borderId="0" xfId="0" applyFont="1" applyAlignment="1">
      <alignment vertical="center"/>
    </xf>
    <xf numFmtId="0" fontId="17" fillId="7" borderId="0" xfId="0" applyFont="1" applyFill="1" applyAlignment="1">
      <alignment vertical="center"/>
    </xf>
    <xf numFmtId="0" fontId="7" fillId="10" borderId="5" xfId="0" applyFont="1" applyFill="1" applyBorder="1" applyAlignment="1">
      <alignment horizontal="center" vertical="center" wrapText="1"/>
    </xf>
    <xf numFmtId="49" fontId="7" fillId="0" borderId="39" xfId="0" applyNumberFormat="1" applyFont="1" applyBorder="1" applyAlignment="1">
      <alignment horizontal="center" vertical="center"/>
    </xf>
    <xf numFmtId="0" fontId="7" fillId="9" borderId="38" xfId="0" applyFont="1" applyFill="1" applyBorder="1" applyAlignment="1">
      <alignment vertical="center" wrapText="1"/>
    </xf>
    <xf numFmtId="0" fontId="7" fillId="10" borderId="39" xfId="0" applyFont="1" applyFill="1" applyBorder="1" applyAlignment="1">
      <alignment horizontal="center" vertical="center" wrapText="1"/>
    </xf>
    <xf numFmtId="0" fontId="18" fillId="5" borderId="51" xfId="0" applyFont="1" applyFill="1" applyBorder="1" applyAlignment="1">
      <alignment horizontal="center" vertical="center" wrapText="1"/>
    </xf>
    <xf numFmtId="0" fontId="18" fillId="5" borderId="52" xfId="0" applyFont="1" applyFill="1" applyBorder="1" applyAlignment="1">
      <alignment horizontal="center" vertical="center" wrapText="1"/>
    </xf>
    <xf numFmtId="0" fontId="18" fillId="5" borderId="53" xfId="0" applyFont="1" applyFill="1" applyBorder="1" applyAlignment="1">
      <alignment horizontal="center" vertical="center" wrapText="1"/>
    </xf>
    <xf numFmtId="0" fontId="18" fillId="5" borderId="37" xfId="0" applyFont="1" applyFill="1" applyBorder="1" applyAlignment="1">
      <alignment horizontal="center" vertical="center" wrapText="1"/>
    </xf>
    <xf numFmtId="0" fontId="7" fillId="10" borderId="41" xfId="0" applyFont="1" applyFill="1" applyBorder="1" applyAlignment="1">
      <alignment horizontal="center" vertical="center" wrapText="1"/>
    </xf>
    <xf numFmtId="0" fontId="7" fillId="12" borderId="41" xfId="0" applyFont="1" applyFill="1" applyBorder="1" applyAlignment="1">
      <alignment horizontal="center" vertical="center"/>
    </xf>
    <xf numFmtId="49" fontId="7" fillId="12" borderId="31" xfId="0" applyNumberFormat="1" applyFont="1" applyFill="1" applyBorder="1" applyAlignment="1">
      <alignment horizontal="center" vertical="center"/>
    </xf>
    <xf numFmtId="49" fontId="7" fillId="12" borderId="31" xfId="0" applyNumberFormat="1" applyFont="1" applyFill="1" applyBorder="1" applyAlignment="1">
      <alignment horizontal="left" vertical="center"/>
    </xf>
    <xf numFmtId="0" fontId="7" fillId="12" borderId="5" xfId="0" applyFont="1" applyFill="1" applyBorder="1" applyAlignment="1">
      <alignment horizontal="center" vertical="center"/>
    </xf>
    <xf numFmtId="49" fontId="7" fillId="12" borderId="39" xfId="0" applyNumberFormat="1" applyFont="1" applyFill="1" applyBorder="1" applyAlignment="1">
      <alignment horizontal="left" vertical="center"/>
    </xf>
    <xf numFmtId="0" fontId="17" fillId="12" borderId="5" xfId="0" applyFont="1" applyFill="1" applyBorder="1" applyAlignment="1">
      <alignment horizontal="left" vertical="center" wrapText="1"/>
    </xf>
    <xf numFmtId="0" fontId="17" fillId="12" borderId="41" xfId="0" applyFont="1" applyFill="1" applyBorder="1" applyAlignment="1">
      <alignment horizontal="left" vertical="center" wrapText="1"/>
    </xf>
    <xf numFmtId="0" fontId="17" fillId="14" borderId="5" xfId="0" applyFont="1" applyFill="1" applyBorder="1" applyAlignment="1">
      <alignment horizontal="left" vertical="center" wrapText="1"/>
    </xf>
    <xf numFmtId="0" fontId="7" fillId="14" borderId="5" xfId="0" applyFont="1" applyFill="1" applyBorder="1" applyAlignment="1">
      <alignment horizontal="center" vertical="center"/>
    </xf>
    <xf numFmtId="49" fontId="7" fillId="14" borderId="39" xfId="0" applyNumberFormat="1" applyFont="1" applyFill="1" applyBorder="1" applyAlignment="1">
      <alignment horizontal="left" vertical="center"/>
    </xf>
    <xf numFmtId="0" fontId="17" fillId="14" borderId="41" xfId="0" applyFont="1" applyFill="1" applyBorder="1" applyAlignment="1">
      <alignment horizontal="left" vertical="center" wrapText="1"/>
    </xf>
    <xf numFmtId="0" fontId="7" fillId="14" borderId="41" xfId="0" applyFont="1" applyFill="1" applyBorder="1" applyAlignment="1">
      <alignment horizontal="center" vertical="center"/>
    </xf>
    <xf numFmtId="49" fontId="7" fillId="14" borderId="31" xfId="0" applyNumberFormat="1" applyFont="1" applyFill="1" applyBorder="1" applyAlignment="1">
      <alignment horizontal="left" vertical="center"/>
    </xf>
    <xf numFmtId="49" fontId="7" fillId="14" borderId="31" xfId="0" applyNumberFormat="1" applyFont="1" applyFill="1" applyBorder="1" applyAlignment="1">
      <alignment horizontal="center" vertical="center"/>
    </xf>
    <xf numFmtId="0" fontId="8" fillId="21" borderId="5" xfId="0" applyFont="1" applyFill="1" applyBorder="1" applyAlignment="1">
      <alignment horizontal="left" vertical="center" wrapText="1"/>
    </xf>
    <xf numFmtId="0" fontId="7" fillId="21" borderId="5" xfId="0" applyFont="1" applyFill="1" applyBorder="1" applyAlignment="1">
      <alignment horizontal="center" vertical="center"/>
    </xf>
    <xf numFmtId="49" fontId="7" fillId="21" borderId="39" xfId="0" applyNumberFormat="1" applyFont="1" applyFill="1" applyBorder="1" applyAlignment="1">
      <alignment horizontal="left" vertical="center"/>
    </xf>
    <xf numFmtId="0" fontId="7" fillId="21" borderId="41" xfId="0" applyFont="1" applyFill="1" applyBorder="1" applyAlignment="1">
      <alignment horizontal="center" vertical="center"/>
    </xf>
    <xf numFmtId="49" fontId="7" fillId="14" borderId="5" xfId="0" applyNumberFormat="1" applyFont="1" applyFill="1" applyBorder="1" applyAlignment="1">
      <alignment horizontal="center" vertical="center"/>
    </xf>
    <xf numFmtId="0" fontId="7" fillId="7" borderId="40" xfId="0" applyFont="1" applyFill="1" applyBorder="1" applyAlignment="1">
      <alignment horizontal="center" vertical="center" wrapText="1"/>
    </xf>
    <xf numFmtId="0" fontId="7" fillId="0" borderId="40" xfId="0" applyFont="1" applyBorder="1" applyAlignment="1">
      <alignment horizontal="center" vertical="center" wrapText="1"/>
    </xf>
    <xf numFmtId="0" fontId="7" fillId="12" borderId="40" xfId="0" applyFont="1" applyFill="1" applyBorder="1" applyAlignment="1">
      <alignment horizontal="center" vertical="center" wrapText="1"/>
    </xf>
    <xf numFmtId="0" fontId="7" fillId="14" borderId="40" xfId="0" applyFont="1" applyFill="1" applyBorder="1" applyAlignment="1">
      <alignment horizontal="center" vertical="center" wrapText="1"/>
    </xf>
    <xf numFmtId="0" fontId="7" fillId="21" borderId="40" xfId="0" applyFont="1" applyFill="1" applyBorder="1" applyAlignment="1">
      <alignment horizontal="center" vertical="center" wrapText="1"/>
    </xf>
    <xf numFmtId="0" fontId="7" fillId="23" borderId="40" xfId="0" applyFont="1" applyFill="1" applyBorder="1" applyAlignment="1">
      <alignment horizontal="center" vertical="center" wrapText="1"/>
    </xf>
    <xf numFmtId="0" fontId="8" fillId="23" borderId="5" xfId="0" applyFont="1" applyFill="1" applyBorder="1" applyAlignment="1">
      <alignment horizontal="left" vertical="center" wrapText="1"/>
    </xf>
    <xf numFmtId="0" fontId="7" fillId="23" borderId="5" xfId="0" applyFont="1" applyFill="1" applyBorder="1" applyAlignment="1">
      <alignment horizontal="center" vertical="center"/>
    </xf>
    <xf numFmtId="49" fontId="7" fillId="23" borderId="5" xfId="0" applyNumberFormat="1" applyFont="1" applyFill="1" applyBorder="1" applyAlignment="1">
      <alignment horizontal="center" vertical="center"/>
    </xf>
    <xf numFmtId="49" fontId="7" fillId="23" borderId="39" xfId="0" applyNumberFormat="1" applyFont="1" applyFill="1" applyBorder="1" applyAlignment="1">
      <alignment horizontal="left" vertical="center"/>
    </xf>
    <xf numFmtId="49" fontId="7" fillId="21" borderId="5" xfId="0" applyNumberFormat="1" applyFont="1" applyFill="1" applyBorder="1" applyAlignment="1">
      <alignment horizontal="center" vertical="center"/>
    </xf>
    <xf numFmtId="0" fontId="8" fillId="21" borderId="41" xfId="0" applyFont="1" applyFill="1" applyBorder="1" applyAlignment="1">
      <alignment horizontal="left" vertical="center" wrapText="1"/>
    </xf>
    <xf numFmtId="0" fontId="7" fillId="21" borderId="41" xfId="0" applyFont="1" applyFill="1" applyBorder="1" applyAlignment="1">
      <alignment horizontal="center" vertical="center" wrapText="1"/>
    </xf>
    <xf numFmtId="49" fontId="7" fillId="21" borderId="41" xfId="0" applyNumberFormat="1" applyFont="1" applyFill="1" applyBorder="1" applyAlignment="1">
      <alignment horizontal="center" vertical="center"/>
    </xf>
    <xf numFmtId="49" fontId="7" fillId="21" borderId="31" xfId="0" applyNumberFormat="1" applyFont="1" applyFill="1" applyBorder="1" applyAlignment="1">
      <alignment horizontal="left" vertical="center"/>
    </xf>
    <xf numFmtId="0" fontId="7" fillId="14" borderId="55" xfId="0" applyFont="1" applyFill="1" applyBorder="1" applyAlignment="1">
      <alignment horizontal="center" vertical="center" wrapText="1"/>
    </xf>
    <xf numFmtId="0" fontId="7" fillId="14" borderId="41" xfId="0" applyFont="1" applyFill="1" applyBorder="1" applyAlignment="1">
      <alignment horizontal="center" vertical="center" wrapText="1"/>
    </xf>
    <xf numFmtId="49" fontId="7" fillId="14" borderId="41" xfId="0" applyNumberFormat="1" applyFont="1" applyFill="1" applyBorder="1" applyAlignment="1">
      <alignment horizontal="center" vertical="center"/>
    </xf>
    <xf numFmtId="0" fontId="7" fillId="21" borderId="55" xfId="0" applyFont="1" applyFill="1" applyBorder="1" applyAlignment="1">
      <alignment horizontal="center" vertical="center" wrapText="1"/>
    </xf>
    <xf numFmtId="0" fontId="7" fillId="24" borderId="40" xfId="0" applyFont="1" applyFill="1" applyBorder="1" applyAlignment="1">
      <alignment horizontal="center" vertical="center" wrapText="1"/>
    </xf>
    <xf numFmtId="0" fontId="8" fillId="24" borderId="5" xfId="0" applyFont="1" applyFill="1" applyBorder="1" applyAlignment="1">
      <alignment horizontal="left" vertical="center" wrapText="1"/>
    </xf>
    <xf numFmtId="0" fontId="7" fillId="24" borderId="5" xfId="0" applyFont="1" applyFill="1" applyBorder="1" applyAlignment="1">
      <alignment horizontal="center" vertical="center"/>
    </xf>
    <xf numFmtId="49" fontId="7" fillId="24" borderId="5" xfId="0" applyNumberFormat="1" applyFont="1" applyFill="1" applyBorder="1" applyAlignment="1">
      <alignment horizontal="center" vertical="center"/>
    </xf>
    <xf numFmtId="49" fontId="7" fillId="24" borderId="39" xfId="0" applyNumberFormat="1" applyFont="1" applyFill="1" applyBorder="1" applyAlignment="1">
      <alignment horizontal="left" vertical="center"/>
    </xf>
    <xf numFmtId="0" fontId="8" fillId="23" borderId="41" xfId="0" applyFont="1" applyFill="1" applyBorder="1" applyAlignment="1">
      <alignment horizontal="left" vertical="center" wrapText="1"/>
    </xf>
    <xf numFmtId="0" fontId="7" fillId="23" borderId="41" xfId="0" applyFont="1" applyFill="1" applyBorder="1" applyAlignment="1">
      <alignment horizontal="center" vertical="center"/>
    </xf>
    <xf numFmtId="49" fontId="7" fillId="23" borderId="41" xfId="0" applyNumberFormat="1" applyFont="1" applyFill="1" applyBorder="1" applyAlignment="1">
      <alignment horizontal="center" vertical="center"/>
    </xf>
    <xf numFmtId="49" fontId="7" fillId="23" borderId="31" xfId="0" applyNumberFormat="1" applyFont="1" applyFill="1" applyBorder="1" applyAlignment="1">
      <alignment horizontal="left" vertical="center"/>
    </xf>
    <xf numFmtId="0" fontId="0" fillId="0" borderId="31" xfId="0" applyBorder="1"/>
    <xf numFmtId="0" fontId="0" fillId="6" borderId="12" xfId="0" applyFill="1" applyBorder="1"/>
    <xf numFmtId="0" fontId="0" fillId="0" borderId="12" xfId="0" applyBorder="1"/>
    <xf numFmtId="0" fontId="0" fillId="6" borderId="31" xfId="0" applyFill="1" applyBorder="1"/>
    <xf numFmtId="0" fontId="25" fillId="5" borderId="0" xfId="0" applyFont="1" applyFill="1" applyAlignment="1">
      <alignment horizontal="center" vertical="center" wrapText="1"/>
    </xf>
    <xf numFmtId="0" fontId="25" fillId="5" borderId="34" xfId="0" applyFont="1" applyFill="1" applyBorder="1" applyAlignment="1">
      <alignment horizontal="center" vertical="center" wrapText="1"/>
    </xf>
    <xf numFmtId="0" fontId="7" fillId="25" borderId="40" xfId="0" applyFont="1" applyFill="1" applyBorder="1" applyAlignment="1">
      <alignment horizontal="center" vertical="center" wrapText="1"/>
    </xf>
    <xf numFmtId="0" fontId="8" fillId="25" borderId="5" xfId="0" applyFont="1" applyFill="1" applyBorder="1" applyAlignment="1">
      <alignment horizontal="left" vertical="center" wrapText="1"/>
    </xf>
    <xf numFmtId="0" fontId="7" fillId="25" borderId="5" xfId="0" applyFont="1" applyFill="1" applyBorder="1" applyAlignment="1">
      <alignment horizontal="center" vertical="center"/>
    </xf>
    <xf numFmtId="49" fontId="7" fillId="25" borderId="5" xfId="0" applyNumberFormat="1" applyFont="1" applyFill="1" applyBorder="1" applyAlignment="1">
      <alignment horizontal="center" vertical="center"/>
    </xf>
    <xf numFmtId="49" fontId="7" fillId="25" borderId="39" xfId="0" applyNumberFormat="1" applyFont="1" applyFill="1" applyBorder="1" applyAlignment="1">
      <alignment horizontal="left" vertical="center"/>
    </xf>
    <xf numFmtId="49" fontId="7" fillId="25" borderId="31" xfId="0" applyNumberFormat="1" applyFont="1" applyFill="1" applyBorder="1" applyAlignment="1">
      <alignment horizontal="left" vertical="center"/>
    </xf>
    <xf numFmtId="0" fontId="7" fillId="26" borderId="40" xfId="0" applyFont="1" applyFill="1" applyBorder="1" applyAlignment="1">
      <alignment horizontal="center" vertical="center" wrapText="1"/>
    </xf>
    <xf numFmtId="0" fontId="8" fillId="26" borderId="5" xfId="0" applyFont="1" applyFill="1" applyBorder="1" applyAlignment="1">
      <alignment horizontal="left" vertical="center" wrapText="1"/>
    </xf>
    <xf numFmtId="0" fontId="7" fillId="26" borderId="5" xfId="0" applyFont="1" applyFill="1" applyBorder="1" applyAlignment="1">
      <alignment horizontal="center" vertical="center"/>
    </xf>
    <xf numFmtId="49" fontId="7" fillId="26" borderId="5" xfId="0" applyNumberFormat="1" applyFont="1" applyFill="1" applyBorder="1" applyAlignment="1">
      <alignment horizontal="center" vertical="center"/>
    </xf>
    <xf numFmtId="49" fontId="7" fillId="26" borderId="39" xfId="0" applyNumberFormat="1" applyFont="1" applyFill="1" applyBorder="1" applyAlignment="1">
      <alignment horizontal="left" vertical="center"/>
    </xf>
    <xf numFmtId="0" fontId="8" fillId="26" borderId="41" xfId="0" applyFont="1" applyFill="1" applyBorder="1" applyAlignment="1">
      <alignment horizontal="left" vertical="center" wrapText="1"/>
    </xf>
    <xf numFmtId="0" fontId="7" fillId="26" borderId="41" xfId="0" applyFont="1" applyFill="1" applyBorder="1" applyAlignment="1">
      <alignment horizontal="center" vertical="center"/>
    </xf>
    <xf numFmtId="49" fontId="7" fillId="26" borderId="41" xfId="0" applyNumberFormat="1" applyFont="1" applyFill="1" applyBorder="1" applyAlignment="1">
      <alignment horizontal="center" vertical="center"/>
    </xf>
    <xf numFmtId="49" fontId="7" fillId="26" borderId="31" xfId="0" applyNumberFormat="1" applyFont="1" applyFill="1" applyBorder="1" applyAlignment="1">
      <alignment horizontal="left" vertical="center"/>
    </xf>
    <xf numFmtId="0" fontId="26" fillId="5" borderId="35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0" fillId="0" borderId="37" xfId="0" applyBorder="1" applyAlignment="1">
      <alignment vertical="center" wrapText="1"/>
    </xf>
    <xf numFmtId="0" fontId="0" fillId="0" borderId="38" xfId="0" applyBorder="1" applyAlignment="1">
      <alignment vertical="center" wrapText="1"/>
    </xf>
    <xf numFmtId="0" fontId="0" fillId="6" borderId="5" xfId="0" applyFill="1" applyBorder="1" applyAlignment="1">
      <alignment vertical="center" wrapText="1"/>
    </xf>
    <xf numFmtId="167" fontId="0" fillId="0" borderId="39" xfId="0" applyNumberFormat="1" applyBorder="1" applyAlignment="1">
      <alignment horizontal="center" vertical="center" wrapText="1"/>
    </xf>
    <xf numFmtId="0" fontId="0" fillId="0" borderId="5" xfId="0" applyBorder="1" applyAlignment="1">
      <alignment vertical="center" wrapText="1"/>
    </xf>
    <xf numFmtId="0" fontId="0" fillId="0" borderId="40" xfId="0" applyBorder="1" applyAlignment="1">
      <alignment vertical="center" wrapText="1"/>
    </xf>
    <xf numFmtId="0" fontId="0" fillId="0" borderId="41" xfId="0" applyBorder="1" applyAlignment="1">
      <alignment vertical="center" wrapText="1"/>
    </xf>
    <xf numFmtId="167" fontId="0" fillId="0" borderId="31" xfId="0" applyNumberFormat="1" applyBorder="1" applyAlignment="1">
      <alignment horizontal="center" vertical="center" wrapText="1"/>
    </xf>
    <xf numFmtId="0" fontId="7" fillId="27" borderId="40" xfId="0" applyFont="1" applyFill="1" applyBorder="1" applyAlignment="1">
      <alignment horizontal="center" vertical="center" wrapText="1"/>
    </xf>
    <xf numFmtId="0" fontId="8" fillId="27" borderId="5" xfId="0" applyFont="1" applyFill="1" applyBorder="1" applyAlignment="1">
      <alignment horizontal="left" vertical="center" wrapText="1"/>
    </xf>
    <xf numFmtId="0" fontId="7" fillId="27" borderId="5" xfId="0" applyFont="1" applyFill="1" applyBorder="1" applyAlignment="1">
      <alignment horizontal="center" vertical="center"/>
    </xf>
    <xf numFmtId="49" fontId="7" fillId="27" borderId="5" xfId="0" applyNumberFormat="1" applyFont="1" applyFill="1" applyBorder="1" applyAlignment="1">
      <alignment horizontal="center" vertical="center"/>
    </xf>
    <xf numFmtId="49" fontId="7" fillId="27" borderId="39" xfId="0" applyNumberFormat="1" applyFont="1" applyFill="1" applyBorder="1" applyAlignment="1">
      <alignment horizontal="left" vertical="center"/>
    </xf>
    <xf numFmtId="49" fontId="7" fillId="27" borderId="31" xfId="0" applyNumberFormat="1" applyFont="1" applyFill="1" applyBorder="1" applyAlignment="1">
      <alignment horizontal="left" vertical="center"/>
    </xf>
    <xf numFmtId="0" fontId="7" fillId="29" borderId="40" xfId="0" applyFont="1" applyFill="1" applyBorder="1" applyAlignment="1">
      <alignment horizontal="center" vertical="center" wrapText="1"/>
    </xf>
    <xf numFmtId="0" fontId="8" fillId="29" borderId="5" xfId="0" applyFont="1" applyFill="1" applyBorder="1" applyAlignment="1">
      <alignment horizontal="left" vertical="center" wrapText="1"/>
    </xf>
    <xf numFmtId="0" fontId="7" fillId="29" borderId="5" xfId="0" applyFont="1" applyFill="1" applyBorder="1" applyAlignment="1">
      <alignment horizontal="center" vertical="center"/>
    </xf>
    <xf numFmtId="49" fontId="7" fillId="29" borderId="5" xfId="0" applyNumberFormat="1" applyFont="1" applyFill="1" applyBorder="1" applyAlignment="1">
      <alignment horizontal="center" vertical="center"/>
    </xf>
    <xf numFmtId="49" fontId="7" fillId="29" borderId="39" xfId="0" applyNumberFormat="1" applyFont="1" applyFill="1" applyBorder="1" applyAlignment="1">
      <alignment horizontal="left" vertical="center"/>
    </xf>
    <xf numFmtId="0" fontId="8" fillId="29" borderId="41" xfId="0" applyFont="1" applyFill="1" applyBorder="1" applyAlignment="1">
      <alignment horizontal="left" vertical="center" wrapText="1"/>
    </xf>
    <xf numFmtId="0" fontId="7" fillId="29" borderId="41" xfId="0" applyFont="1" applyFill="1" applyBorder="1" applyAlignment="1">
      <alignment horizontal="center" vertical="center"/>
    </xf>
    <xf numFmtId="49" fontId="7" fillId="29" borderId="41" xfId="0" applyNumberFormat="1" applyFont="1" applyFill="1" applyBorder="1" applyAlignment="1">
      <alignment horizontal="center" vertical="center"/>
    </xf>
    <xf numFmtId="0" fontId="25" fillId="5" borderId="58" xfId="0" applyFont="1" applyFill="1" applyBorder="1" applyAlignment="1">
      <alignment horizontal="center" vertical="center" wrapText="1"/>
    </xf>
    <xf numFmtId="0" fontId="25" fillId="5" borderId="61" xfId="0" applyFont="1" applyFill="1" applyBorder="1" applyAlignment="1">
      <alignment horizontal="center" vertical="center" wrapText="1"/>
    </xf>
    <xf numFmtId="0" fontId="0" fillId="6" borderId="62" xfId="0" applyFill="1" applyBorder="1"/>
    <xf numFmtId="0" fontId="0" fillId="6" borderId="54" xfId="0" applyFill="1" applyBorder="1"/>
    <xf numFmtId="0" fontId="0" fillId="0" borderId="62" xfId="0" applyBorder="1"/>
    <xf numFmtId="0" fontId="0" fillId="0" borderId="54" xfId="0" applyBorder="1"/>
    <xf numFmtId="0" fontId="0" fillId="6" borderId="60" xfId="0" applyFill="1" applyBorder="1"/>
    <xf numFmtId="0" fontId="0" fillId="6" borderId="9" xfId="0" applyFill="1" applyBorder="1"/>
    <xf numFmtId="0" fontId="7" fillId="32" borderId="40" xfId="0" applyFont="1" applyFill="1" applyBorder="1" applyAlignment="1">
      <alignment horizontal="center" vertical="center" wrapText="1"/>
    </xf>
    <xf numFmtId="0" fontId="8" fillId="32" borderId="5" xfId="0" applyFont="1" applyFill="1" applyBorder="1" applyAlignment="1">
      <alignment horizontal="left" vertical="center" wrapText="1"/>
    </xf>
    <xf numFmtId="0" fontId="7" fillId="32" borderId="5" xfId="0" applyFont="1" applyFill="1" applyBorder="1" applyAlignment="1">
      <alignment horizontal="center" vertical="center"/>
    </xf>
    <xf numFmtId="49" fontId="7" fillId="32" borderId="5" xfId="0" applyNumberFormat="1" applyFont="1" applyFill="1" applyBorder="1" applyAlignment="1">
      <alignment horizontal="center" vertical="center"/>
    </xf>
    <xf numFmtId="49" fontId="7" fillId="32" borderId="39" xfId="0" applyNumberFormat="1" applyFont="1" applyFill="1" applyBorder="1" applyAlignment="1">
      <alignment horizontal="left" vertical="center"/>
    </xf>
    <xf numFmtId="0" fontId="7" fillId="32" borderId="41" xfId="0" applyFont="1" applyFill="1" applyBorder="1" applyAlignment="1">
      <alignment horizontal="center" vertical="center"/>
    </xf>
    <xf numFmtId="0" fontId="8" fillId="32" borderId="41" xfId="0" applyFont="1" applyFill="1" applyBorder="1" applyAlignment="1">
      <alignment horizontal="left" vertical="center" wrapText="1"/>
    </xf>
    <xf numFmtId="49" fontId="7" fillId="32" borderId="41" xfId="0" applyNumberFormat="1" applyFont="1" applyFill="1" applyBorder="1" applyAlignment="1">
      <alignment horizontal="center" vertical="center"/>
    </xf>
    <xf numFmtId="49" fontId="7" fillId="32" borderId="31" xfId="0" applyNumberFormat="1" applyFont="1" applyFill="1" applyBorder="1" applyAlignment="1">
      <alignment horizontal="left" vertical="center"/>
    </xf>
    <xf numFmtId="0" fontId="18" fillId="5" borderId="35" xfId="0" applyFont="1" applyFill="1" applyBorder="1" applyAlignment="1">
      <alignment horizontal="center" vertical="center" wrapText="1"/>
    </xf>
    <xf numFmtId="0" fontId="18" fillId="5" borderId="36" xfId="0" applyFont="1" applyFill="1" applyBorder="1" applyAlignment="1">
      <alignment horizontal="center" vertical="center" wrapText="1"/>
    </xf>
    <xf numFmtId="0" fontId="7" fillId="12" borderId="38" xfId="0" applyFont="1" applyFill="1" applyBorder="1" applyAlignment="1">
      <alignment vertical="center" wrapText="1"/>
    </xf>
    <xf numFmtId="0" fontId="7" fillId="13" borderId="5" xfId="0" applyFont="1" applyFill="1" applyBorder="1" applyAlignment="1">
      <alignment vertical="center" wrapText="1"/>
    </xf>
    <xf numFmtId="0" fontId="7" fillId="13" borderId="5" xfId="0" applyFont="1" applyFill="1" applyBorder="1" applyAlignment="1">
      <alignment horizontal="center" vertical="center" wrapText="1"/>
    </xf>
    <xf numFmtId="0" fontId="7" fillId="13" borderId="39" xfId="0" applyFont="1" applyFill="1" applyBorder="1" applyAlignment="1">
      <alignment horizontal="center" vertical="center" wrapText="1"/>
    </xf>
    <xf numFmtId="0" fontId="7" fillId="14" borderId="38" xfId="0" applyFont="1" applyFill="1" applyBorder="1" applyAlignment="1">
      <alignment vertical="center" wrapText="1"/>
    </xf>
    <xf numFmtId="0" fontId="7" fillId="15" borderId="5" xfId="0" applyFont="1" applyFill="1" applyBorder="1" applyAlignment="1">
      <alignment vertical="center" wrapText="1"/>
    </xf>
    <xf numFmtId="0" fontId="7" fillId="15" borderId="5" xfId="0" applyFont="1" applyFill="1" applyBorder="1" applyAlignment="1">
      <alignment horizontal="center" vertical="center" wrapText="1"/>
    </xf>
    <xf numFmtId="0" fontId="7" fillId="15" borderId="39" xfId="0" applyFont="1" applyFill="1" applyBorder="1" applyAlignment="1">
      <alignment horizontal="center" vertical="center" wrapText="1"/>
    </xf>
    <xf numFmtId="0" fontId="7" fillId="8" borderId="38" xfId="0" applyFont="1" applyFill="1" applyBorder="1" applyAlignment="1">
      <alignment vertical="center" wrapText="1"/>
    </xf>
    <xf numFmtId="0" fontId="7" fillId="11" borderId="5" xfId="0" applyFont="1" applyFill="1" applyBorder="1" applyAlignment="1">
      <alignment vertical="center" wrapText="1"/>
    </xf>
    <xf numFmtId="0" fontId="7" fillId="12" borderId="40" xfId="0" applyFont="1" applyFill="1" applyBorder="1" applyAlignment="1">
      <alignment vertical="center" wrapText="1"/>
    </xf>
    <xf numFmtId="0" fontId="7" fillId="13" borderId="41" xfId="0" applyFont="1" applyFill="1" applyBorder="1" applyAlignment="1">
      <alignment vertical="center" wrapText="1"/>
    </xf>
    <xf numFmtId="166" fontId="7" fillId="10" borderId="5" xfId="0" applyNumberFormat="1" applyFont="1" applyFill="1" applyBorder="1" applyAlignment="1">
      <alignment horizontal="center" vertical="center" wrapText="1"/>
    </xf>
    <xf numFmtId="166" fontId="7" fillId="10" borderId="39" xfId="0" applyNumberFormat="1" applyFont="1" applyFill="1" applyBorder="1" applyAlignment="1">
      <alignment horizontal="center" vertical="center" wrapText="1"/>
    </xf>
    <xf numFmtId="166" fontId="7" fillId="15" borderId="5" xfId="0" applyNumberFormat="1" applyFont="1" applyFill="1" applyBorder="1" applyAlignment="1">
      <alignment horizontal="center" vertical="center" wrapText="1"/>
    </xf>
    <xf numFmtId="166" fontId="7" fillId="15" borderId="39" xfId="0" applyNumberFormat="1" applyFont="1" applyFill="1" applyBorder="1" applyAlignment="1">
      <alignment horizontal="center" vertical="center" wrapText="1"/>
    </xf>
    <xf numFmtId="166" fontId="7" fillId="13" borderId="5" xfId="0" applyNumberFormat="1" applyFont="1" applyFill="1" applyBorder="1" applyAlignment="1">
      <alignment horizontal="center" vertical="center" wrapText="1"/>
    </xf>
    <xf numFmtId="166" fontId="7" fillId="13" borderId="39" xfId="0" applyNumberFormat="1" applyFont="1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166" fontId="7" fillId="11" borderId="5" xfId="0" applyNumberFormat="1" applyFont="1" applyFill="1" applyBorder="1" applyAlignment="1">
      <alignment horizontal="center" vertical="center" wrapText="1"/>
    </xf>
    <xf numFmtId="166" fontId="7" fillId="11" borderId="39" xfId="0" applyNumberFormat="1" applyFont="1" applyFill="1" applyBorder="1" applyAlignment="1">
      <alignment horizontal="center" vertical="center" wrapText="1"/>
    </xf>
    <xf numFmtId="0" fontId="7" fillId="19" borderId="38" xfId="0" applyFont="1" applyFill="1" applyBorder="1" applyAlignment="1">
      <alignment vertical="center" wrapText="1"/>
    </xf>
    <xf numFmtId="0" fontId="7" fillId="20" borderId="5" xfId="0" applyFont="1" applyFill="1" applyBorder="1" applyAlignment="1">
      <alignment vertical="center" wrapText="1"/>
    </xf>
    <xf numFmtId="0" fontId="7" fillId="20" borderId="5" xfId="0" applyFont="1" applyFill="1" applyBorder="1" applyAlignment="1">
      <alignment horizontal="center" vertical="center" wrapText="1"/>
    </xf>
    <xf numFmtId="166" fontId="7" fillId="20" borderId="5" xfId="0" applyNumberFormat="1" applyFont="1" applyFill="1" applyBorder="1" applyAlignment="1">
      <alignment horizontal="center" vertical="center" wrapText="1"/>
    </xf>
    <xf numFmtId="166" fontId="7" fillId="20" borderId="39" xfId="0" applyNumberFormat="1" applyFont="1" applyFill="1" applyBorder="1" applyAlignment="1">
      <alignment horizontal="center" vertical="center" wrapText="1"/>
    </xf>
    <xf numFmtId="0" fontId="7" fillId="21" borderId="38" xfId="0" applyFont="1" applyFill="1" applyBorder="1" applyAlignment="1">
      <alignment vertical="center" wrapText="1"/>
    </xf>
    <xf numFmtId="0" fontId="7" fillId="22" borderId="5" xfId="0" applyFont="1" applyFill="1" applyBorder="1" applyAlignment="1">
      <alignment vertical="center" wrapText="1"/>
    </xf>
    <xf numFmtId="0" fontId="7" fillId="22" borderId="5" xfId="0" applyFont="1" applyFill="1" applyBorder="1" applyAlignment="1">
      <alignment horizontal="center" vertical="center" wrapText="1"/>
    </xf>
    <xf numFmtId="166" fontId="7" fillId="22" borderId="5" xfId="0" applyNumberFormat="1" applyFont="1" applyFill="1" applyBorder="1" applyAlignment="1">
      <alignment horizontal="center" vertical="center" wrapText="1"/>
    </xf>
    <xf numFmtId="166" fontId="7" fillId="22" borderId="39" xfId="0" applyNumberFormat="1" applyFont="1" applyFill="1" applyBorder="1" applyAlignment="1">
      <alignment horizontal="center" vertical="center" wrapText="1"/>
    </xf>
    <xf numFmtId="0" fontId="7" fillId="29" borderId="38" xfId="0" applyFont="1" applyFill="1" applyBorder="1" applyAlignment="1">
      <alignment vertical="center" wrapText="1"/>
    </xf>
    <xf numFmtId="0" fontId="7" fillId="30" borderId="5" xfId="0" applyFont="1" applyFill="1" applyBorder="1" applyAlignment="1">
      <alignment vertical="center" wrapText="1"/>
    </xf>
    <xf numFmtId="0" fontId="7" fillId="30" borderId="5" xfId="0" applyFont="1" applyFill="1" applyBorder="1" applyAlignment="1">
      <alignment horizontal="center" vertical="center" wrapText="1"/>
    </xf>
    <xf numFmtId="166" fontId="7" fillId="30" borderId="5" xfId="0" applyNumberFormat="1" applyFont="1" applyFill="1" applyBorder="1" applyAlignment="1">
      <alignment horizontal="center" vertical="center" wrapText="1"/>
    </xf>
    <xf numFmtId="166" fontId="7" fillId="30" borderId="39" xfId="0" applyNumberFormat="1" applyFont="1" applyFill="1" applyBorder="1" applyAlignment="1">
      <alignment horizontal="center" vertical="center" wrapText="1"/>
    </xf>
    <xf numFmtId="0" fontId="7" fillId="26" borderId="38" xfId="0" applyFont="1" applyFill="1" applyBorder="1" applyAlignment="1">
      <alignment vertical="center" wrapText="1"/>
    </xf>
    <xf numFmtId="0" fontId="7" fillId="31" borderId="5" xfId="0" applyFont="1" applyFill="1" applyBorder="1" applyAlignment="1">
      <alignment vertical="center" wrapText="1"/>
    </xf>
    <xf numFmtId="0" fontId="7" fillId="31" borderId="5" xfId="0" applyFont="1" applyFill="1" applyBorder="1" applyAlignment="1">
      <alignment horizontal="center" vertical="center" wrapText="1"/>
    </xf>
    <xf numFmtId="166" fontId="7" fillId="31" borderId="5" xfId="0" applyNumberFormat="1" applyFont="1" applyFill="1" applyBorder="1" applyAlignment="1">
      <alignment horizontal="center" vertical="center" wrapText="1"/>
    </xf>
    <xf numFmtId="166" fontId="7" fillId="31" borderId="39" xfId="0" applyNumberFormat="1" applyFont="1" applyFill="1" applyBorder="1" applyAlignment="1">
      <alignment horizontal="center" vertical="center" wrapText="1"/>
    </xf>
    <xf numFmtId="0" fontId="7" fillId="23" borderId="38" xfId="0" applyFont="1" applyFill="1" applyBorder="1" applyAlignment="1">
      <alignment vertical="center" wrapText="1"/>
    </xf>
    <xf numFmtId="0" fontId="7" fillId="28" borderId="5" xfId="0" applyFont="1" applyFill="1" applyBorder="1" applyAlignment="1">
      <alignment vertical="center" wrapText="1"/>
    </xf>
    <xf numFmtId="0" fontId="7" fillId="28" borderId="5" xfId="0" applyFont="1" applyFill="1" applyBorder="1" applyAlignment="1">
      <alignment horizontal="center" vertical="center" wrapText="1"/>
    </xf>
    <xf numFmtId="166" fontId="7" fillId="28" borderId="5" xfId="0" applyNumberFormat="1" applyFont="1" applyFill="1" applyBorder="1" applyAlignment="1">
      <alignment horizontal="center" vertical="center" wrapText="1"/>
    </xf>
    <xf numFmtId="166" fontId="7" fillId="28" borderId="39" xfId="0" applyNumberFormat="1" applyFont="1" applyFill="1" applyBorder="1" applyAlignment="1">
      <alignment horizontal="center" vertical="center" wrapText="1"/>
    </xf>
    <xf numFmtId="0" fontId="7" fillId="8" borderId="40" xfId="0" applyFont="1" applyFill="1" applyBorder="1" applyAlignment="1">
      <alignment vertical="center" wrapText="1"/>
    </xf>
    <xf numFmtId="0" fontId="7" fillId="11" borderId="41" xfId="0" applyFont="1" applyFill="1" applyBorder="1" applyAlignment="1">
      <alignment vertical="center" wrapText="1"/>
    </xf>
    <xf numFmtId="0" fontId="7" fillId="11" borderId="41" xfId="0" applyFont="1" applyFill="1" applyBorder="1" applyAlignment="1">
      <alignment horizontal="center" vertical="center" wrapText="1"/>
    </xf>
    <xf numFmtId="166" fontId="7" fillId="11" borderId="41" xfId="0" applyNumberFormat="1" applyFont="1" applyFill="1" applyBorder="1" applyAlignment="1">
      <alignment horizontal="center" vertical="center" wrapText="1"/>
    </xf>
    <xf numFmtId="0" fontId="7" fillId="21" borderId="40" xfId="0" applyFont="1" applyFill="1" applyBorder="1" applyAlignment="1">
      <alignment vertical="center" wrapText="1"/>
    </xf>
    <xf numFmtId="0" fontId="7" fillId="22" borderId="41" xfId="0" applyFont="1" applyFill="1" applyBorder="1" applyAlignment="1">
      <alignment vertical="center" wrapText="1"/>
    </xf>
    <xf numFmtId="0" fontId="7" fillId="22" borderId="41" xfId="0" applyFont="1" applyFill="1" applyBorder="1" applyAlignment="1">
      <alignment horizontal="center" vertical="center" wrapText="1"/>
    </xf>
    <xf numFmtId="166" fontId="7" fillId="22" borderId="41" xfId="0" applyNumberFormat="1" applyFont="1" applyFill="1" applyBorder="1" applyAlignment="1">
      <alignment horizontal="center" vertical="center" wrapText="1"/>
    </xf>
    <xf numFmtId="166" fontId="7" fillId="22" borderId="31" xfId="0" applyNumberFormat="1" applyFont="1" applyFill="1" applyBorder="1" applyAlignment="1">
      <alignment horizontal="center" vertical="center" wrapText="1"/>
    </xf>
    <xf numFmtId="0" fontId="21" fillId="0" borderId="5" xfId="0" applyFont="1" applyBorder="1" applyAlignment="1">
      <alignment horizontal="left" vertical="center"/>
    </xf>
    <xf numFmtId="0" fontId="27" fillId="0" borderId="38" xfId="0" applyFont="1" applyBorder="1" applyAlignment="1">
      <alignment horizontal="left" vertical="center"/>
    </xf>
    <xf numFmtId="49" fontId="27" fillId="0" borderId="39" xfId="0" applyNumberFormat="1" applyFont="1" applyBorder="1" applyAlignment="1">
      <alignment horizontal="left" vertical="center" wrapText="1"/>
    </xf>
    <xf numFmtId="49" fontId="27" fillId="0" borderId="39" xfId="0" quotePrefix="1" applyNumberFormat="1" applyFont="1" applyBorder="1" applyAlignment="1">
      <alignment horizontal="left" vertical="center" wrapText="1"/>
    </xf>
    <xf numFmtId="49" fontId="27" fillId="0" borderId="6" xfId="0" quotePrefix="1" applyNumberFormat="1" applyFont="1" applyBorder="1" applyAlignment="1">
      <alignment horizontal="left" vertical="center" wrapText="1"/>
    </xf>
    <xf numFmtId="0" fontId="21" fillId="0" borderId="5" xfId="0" applyFont="1" applyBorder="1" applyAlignment="1">
      <alignment horizontal="left" vertical="center" wrapText="1"/>
    </xf>
    <xf numFmtId="0" fontId="27" fillId="0" borderId="4" xfId="0" applyFont="1" applyBorder="1" applyAlignment="1">
      <alignment horizontal="left" vertical="center"/>
    </xf>
    <xf numFmtId="0" fontId="27" fillId="0" borderId="4" xfId="0" applyFont="1" applyBorder="1" applyAlignment="1">
      <alignment horizontal="left" vertical="center" wrapText="1"/>
    </xf>
    <xf numFmtId="0" fontId="27" fillId="0" borderId="40" xfId="0" applyFont="1" applyBorder="1" applyAlignment="1">
      <alignment horizontal="left" vertical="center"/>
    </xf>
    <xf numFmtId="49" fontId="27" fillId="0" borderId="31" xfId="0" quotePrefix="1" applyNumberFormat="1" applyFont="1" applyBorder="1" applyAlignment="1">
      <alignment horizontal="left" vertical="center" wrapText="1"/>
    </xf>
    <xf numFmtId="0" fontId="21" fillId="0" borderId="41" xfId="0" applyFont="1" applyBorder="1" applyAlignment="1">
      <alignment horizontal="left" vertical="center" wrapText="1"/>
    </xf>
    <xf numFmtId="49" fontId="27" fillId="0" borderId="54" xfId="0" quotePrefix="1" applyNumberFormat="1" applyFont="1" applyBorder="1" applyAlignment="1">
      <alignment horizontal="left" vertical="center" wrapText="1"/>
    </xf>
    <xf numFmtId="0" fontId="27" fillId="0" borderId="38" xfId="0" applyFont="1" applyBorder="1" applyAlignment="1">
      <alignment horizontal="left" vertical="center" wrapText="1"/>
    </xf>
    <xf numFmtId="0" fontId="27" fillId="0" borderId="40" xfId="0" applyFont="1" applyBorder="1" applyAlignment="1">
      <alignment horizontal="left" vertical="center" wrapText="1"/>
    </xf>
    <xf numFmtId="0" fontId="21" fillId="0" borderId="52" xfId="0" applyFont="1" applyBorder="1" applyAlignment="1">
      <alignment horizontal="left" vertical="center" wrapText="1"/>
    </xf>
    <xf numFmtId="49" fontId="27" fillId="0" borderId="34" xfId="0" applyNumberFormat="1" applyFont="1" applyBorder="1" applyAlignment="1">
      <alignment horizontal="left" vertical="center" wrapText="1"/>
    </xf>
    <xf numFmtId="0" fontId="27" fillId="0" borderId="51" xfId="0" applyFont="1" applyBorder="1" applyAlignment="1">
      <alignment horizontal="left" vertical="center" wrapText="1"/>
    </xf>
    <xf numFmtId="49" fontId="27" fillId="0" borderId="59" xfId="0" quotePrefix="1" applyNumberFormat="1" applyFont="1" applyBorder="1" applyAlignment="1">
      <alignment horizontal="left" vertical="center" wrapText="1"/>
    </xf>
    <xf numFmtId="0" fontId="21" fillId="0" borderId="63" xfId="0" applyFont="1" applyBorder="1" applyAlignment="1">
      <alignment horizontal="left" vertical="center" wrapText="1"/>
    </xf>
    <xf numFmtId="49" fontId="27" fillId="0" borderId="31" xfId="0" applyNumberFormat="1" applyFont="1" applyBorder="1" applyAlignment="1">
      <alignment horizontal="left" vertical="center" wrapText="1"/>
    </xf>
    <xf numFmtId="49" fontId="27" fillId="0" borderId="6" xfId="0" applyNumberFormat="1" applyFont="1" applyBorder="1" applyAlignment="1">
      <alignment horizontal="left" vertical="center" wrapText="1"/>
    </xf>
    <xf numFmtId="49" fontId="27" fillId="0" borderId="54" xfId="0" applyNumberFormat="1" applyFont="1" applyBorder="1" applyAlignment="1">
      <alignment horizontal="left" vertical="center" wrapText="1"/>
    </xf>
    <xf numFmtId="49" fontId="27" fillId="0" borderId="64" xfId="0" applyNumberFormat="1" applyFont="1" applyBorder="1" applyAlignment="1">
      <alignment horizontal="left" vertical="center" wrapText="1"/>
    </xf>
    <xf numFmtId="0" fontId="21" fillId="0" borderId="65" xfId="0" applyFont="1" applyBorder="1" applyAlignment="1">
      <alignment horizontal="left" vertical="center" wrapText="1"/>
    </xf>
    <xf numFmtId="49" fontId="27" fillId="0" borderId="66" xfId="0" applyNumberFormat="1" applyFont="1" applyBorder="1" applyAlignment="1">
      <alignment horizontal="left" vertical="center" wrapText="1"/>
    </xf>
    <xf numFmtId="49" fontId="27" fillId="0" borderId="64" xfId="0" quotePrefix="1" applyNumberFormat="1" applyFont="1" applyBorder="1" applyAlignment="1">
      <alignment horizontal="left" vertical="center" wrapText="1"/>
    </xf>
    <xf numFmtId="0" fontId="27" fillId="0" borderId="39" xfId="0" applyFont="1" applyBorder="1" applyAlignment="1">
      <alignment vertical="center" wrapText="1"/>
    </xf>
    <xf numFmtId="0" fontId="27" fillId="0" borderId="55" xfId="0" applyFont="1" applyBorder="1" applyAlignment="1">
      <alignment horizontal="left" vertical="center" wrapText="1"/>
    </xf>
    <xf numFmtId="0" fontId="27" fillId="0" borderId="32" xfId="0" applyFont="1" applyBorder="1" applyAlignment="1">
      <alignment vertical="center" wrapText="1"/>
    </xf>
    <xf numFmtId="0" fontId="27" fillId="0" borderId="31" xfId="0" applyFont="1" applyBorder="1" applyAlignment="1">
      <alignment vertical="center" wrapText="1"/>
    </xf>
    <xf numFmtId="0" fontId="27" fillId="0" borderId="56" xfId="0" applyFont="1" applyBorder="1" applyAlignment="1">
      <alignment horizontal="left" vertical="center" wrapText="1"/>
    </xf>
    <xf numFmtId="0" fontId="27" fillId="0" borderId="34" xfId="0" applyFont="1" applyBorder="1" applyAlignment="1">
      <alignment vertical="center" wrapText="1"/>
    </xf>
    <xf numFmtId="0" fontId="27" fillId="0" borderId="57" xfId="0" applyFont="1" applyBorder="1" applyAlignment="1">
      <alignment horizontal="left" vertical="center" wrapText="1"/>
    </xf>
    <xf numFmtId="0" fontId="27" fillId="0" borderId="6" xfId="0" applyFont="1" applyBorder="1" applyAlignment="1">
      <alignment horizontal="center" vertical="center" wrapText="1"/>
    </xf>
    <xf numFmtId="0" fontId="27" fillId="0" borderId="39" xfId="0" applyFont="1" applyBorder="1" applyAlignment="1">
      <alignment horizontal="center" vertical="center" wrapText="1"/>
    </xf>
    <xf numFmtId="0" fontId="27" fillId="0" borderId="40" xfId="0" applyFont="1" applyBorder="1" applyAlignment="1">
      <alignment vertical="center" wrapText="1"/>
    </xf>
    <xf numFmtId="0" fontId="27" fillId="0" borderId="41" xfId="0" applyFont="1" applyBorder="1" applyAlignment="1">
      <alignment vertical="center" wrapText="1"/>
    </xf>
    <xf numFmtId="0" fontId="27" fillId="0" borderId="41" xfId="0" applyFont="1" applyBorder="1" applyAlignment="1">
      <alignment horizontal="center" vertical="center" wrapText="1"/>
    </xf>
    <xf numFmtId="0" fontId="27" fillId="0" borderId="54" xfId="0" applyFont="1" applyBorder="1" applyAlignment="1">
      <alignment horizontal="center" vertical="center" wrapText="1"/>
    </xf>
    <xf numFmtId="0" fontId="27" fillId="0" borderId="31" xfId="0" applyFont="1" applyBorder="1" applyAlignment="1">
      <alignment horizontal="center" vertical="center" wrapText="1"/>
    </xf>
    <xf numFmtId="0" fontId="27" fillId="33" borderId="51" xfId="0" applyFont="1" applyFill="1" applyBorder="1" applyAlignment="1">
      <alignment horizontal="left" vertical="center" wrapText="1"/>
    </xf>
    <xf numFmtId="0" fontId="21" fillId="33" borderId="52" xfId="0" applyFont="1" applyFill="1" applyBorder="1" applyAlignment="1">
      <alignment horizontal="left" vertical="center" wrapText="1"/>
    </xf>
    <xf numFmtId="49" fontId="27" fillId="34" borderId="64" xfId="0" quotePrefix="1" applyNumberFormat="1" applyFont="1" applyFill="1" applyBorder="1" applyAlignment="1">
      <alignment horizontal="left" vertical="center" wrapText="1"/>
    </xf>
    <xf numFmtId="0" fontId="27" fillId="33" borderId="57" xfId="0" applyFont="1" applyFill="1" applyBorder="1" applyAlignment="1">
      <alignment horizontal="left" vertical="center" wrapText="1"/>
    </xf>
    <xf numFmtId="0" fontId="27" fillId="33" borderId="34" xfId="0" applyFont="1" applyFill="1" applyBorder="1" applyAlignment="1">
      <alignment vertical="center" wrapText="1"/>
    </xf>
    <xf numFmtId="0" fontId="27" fillId="9" borderId="38" xfId="0" applyFont="1" applyFill="1" applyBorder="1" applyAlignment="1">
      <alignment vertical="center" wrapText="1"/>
    </xf>
    <xf numFmtId="0" fontId="27" fillId="9" borderId="5" xfId="0" applyFont="1" applyFill="1" applyBorder="1" applyAlignment="1">
      <alignment vertical="center" wrapText="1"/>
    </xf>
    <xf numFmtId="0" fontId="27" fillId="9" borderId="5" xfId="0" applyFont="1" applyFill="1" applyBorder="1" applyAlignment="1">
      <alignment horizontal="center" vertical="center" wrapText="1"/>
    </xf>
    <xf numFmtId="0" fontId="27" fillId="9" borderId="40" xfId="0" applyFont="1" applyFill="1" applyBorder="1" applyAlignment="1">
      <alignment vertical="center" wrapText="1"/>
    </xf>
    <xf numFmtId="0" fontId="27" fillId="9" borderId="41" xfId="0" applyFont="1" applyFill="1" applyBorder="1" applyAlignment="1">
      <alignment vertical="center" wrapText="1"/>
    </xf>
    <xf numFmtId="0" fontId="27" fillId="9" borderId="41" xfId="0" applyFont="1" applyFill="1" applyBorder="1" applyAlignment="1">
      <alignment horizontal="center" vertical="center" wrapText="1"/>
    </xf>
    <xf numFmtId="0" fontId="27" fillId="9" borderId="52" xfId="0" applyFont="1" applyFill="1" applyBorder="1" applyAlignment="1">
      <alignment vertical="center" wrapText="1"/>
    </xf>
    <xf numFmtId="0" fontId="27" fillId="10" borderId="41" xfId="0" applyFont="1" applyFill="1" applyBorder="1" applyAlignment="1">
      <alignment vertical="center" wrapText="1"/>
    </xf>
    <xf numFmtId="0" fontId="27" fillId="10" borderId="41" xfId="0" applyFont="1" applyFill="1" applyBorder="1" applyAlignment="1">
      <alignment horizontal="center" vertical="center" wrapText="1"/>
    </xf>
    <xf numFmtId="0" fontId="27" fillId="33" borderId="54" xfId="0" applyFont="1" applyFill="1" applyBorder="1" applyAlignment="1">
      <alignment horizontal="center" vertical="center" wrapText="1"/>
    </xf>
    <xf numFmtId="0" fontId="27" fillId="34" borderId="31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/>
    </xf>
  </cellXfs>
  <cellStyles count="2">
    <cellStyle name="Comma" xfId="1" builtinId="3"/>
    <cellStyle name="Normal" xfId="0" builtinId="0"/>
  </cellStyles>
  <dxfs count="124">
    <dxf>
      <font>
        <strike val="0"/>
        <outline val="0"/>
        <shadow val="0"/>
        <u val="none"/>
        <vertAlign val="baseline"/>
        <sz val="11"/>
        <color auto="1"/>
        <name val="Amasis MT Pro"/>
        <family val="1"/>
        <scheme val="none"/>
      </font>
      <numFmt numFmtId="30" formatCode="@"/>
      <fill>
        <patternFill patternType="none">
          <fgColor theme="4" tint="0.79998168889431442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double">
          <color auto="1"/>
        </right>
        <top/>
        <bottom/>
        <vertical/>
        <horizontal/>
      </border>
    </dxf>
    <dxf>
      <font>
        <b/>
        <strike val="0"/>
        <condense val="0"/>
        <extend val="0"/>
        <outline val="0"/>
        <shadow val="0"/>
        <u val="none"/>
        <vertAlign val="baseline"/>
        <sz val="11"/>
        <color auto="1"/>
        <name val="Amasis MT Pro"/>
        <family val="1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Amasis MT Pro"/>
        <family val="1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Amasis MT Pro"/>
        <family val="1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masis MT Pro"/>
        <family val="1"/>
        <scheme val="none"/>
      </font>
      <numFmt numFmtId="30" formatCode="@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strike val="0"/>
        <outline val="0"/>
        <shadow val="0"/>
        <vertAlign val="baseline"/>
        <name val="Amasis MT Pro"/>
        <family val="1"/>
        <scheme val="none"/>
      </font>
      <numFmt numFmtId="30" formatCode="@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strike val="0"/>
        <outline val="0"/>
        <shadow val="0"/>
        <vertAlign val="baseline"/>
        <name val="Amasis MT Pro"/>
        <family val="1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strike val="0"/>
        <outline val="0"/>
        <shadow val="0"/>
        <vertAlign val="baseline"/>
        <name val="Amasis MT Pro"/>
        <family val="1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strike val="0"/>
        <outline val="0"/>
        <shadow val="0"/>
        <vertAlign val="baseline"/>
        <name val="Amasis MT Pro"/>
        <family val="1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strike val="0"/>
        <outline val="0"/>
        <shadow val="0"/>
        <vertAlign val="baseline"/>
        <name val="Amasis MT Pro"/>
        <family val="1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strike val="0"/>
        <outline val="0"/>
        <shadow val="0"/>
        <vertAlign val="baseline"/>
        <name val="Amasis MT Pro"/>
        <family val="1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strike val="0"/>
        <outline val="0"/>
        <shadow val="0"/>
        <vertAlign val="baseline"/>
        <name val="Amasis MT Pro"/>
        <family val="1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strike val="0"/>
        <outline val="0"/>
        <shadow val="0"/>
        <vertAlign val="baseline"/>
        <name val="Amasis MT Pro"/>
        <family val="1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strike val="0"/>
        <outline val="0"/>
        <shadow val="0"/>
        <vertAlign val="baseline"/>
        <name val="Amasis MT Pro"/>
        <family val="1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vertAlign val="baseline"/>
        <name val="Amasis MT Pro"/>
        <family val="1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Amasis MT Pro"/>
        <family val="1"/>
        <scheme val="none"/>
      </font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Amasis MT Pro"/>
        <family val="1"/>
        <scheme val="none"/>
      </font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strike val="0"/>
        <outline val="0"/>
        <shadow val="0"/>
        <vertAlign val="baseline"/>
        <name val="Amasis MT Pro"/>
        <family val="1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/>
        <vertical/>
        <horizontal/>
      </border>
    </dxf>
    <dxf>
      <font>
        <name val="Amasis MT Pro"/>
        <family val="1"/>
        <scheme val="none"/>
      </font>
      <fill>
        <patternFill patternType="solid">
          <fgColor theme="4" tint="0.79998168889431442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sis MT Pro"/>
        <family val="1"/>
        <scheme val="none"/>
      </font>
      <fill>
        <patternFill patternType="solid">
          <fgColor theme="4" tint="0.79998168889431442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sis MT Pro"/>
        <family val="1"/>
        <scheme val="none"/>
      </font>
      <fill>
        <patternFill patternType="solid">
          <fgColor theme="4" tint="0.79998168889431442"/>
          <bgColor theme="9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sis MT Pro"/>
        <family val="1"/>
        <scheme val="none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masis MT Pro"/>
        <family val="1"/>
        <scheme val="none"/>
      </font>
      <fill>
        <patternFill patternType="solid">
          <fgColor theme="4" tint="0.79998168889431442"/>
          <bgColor theme="9" tint="0.59999389629810485"/>
        </patternFill>
      </fill>
      <alignment horizontal="center" vertical="center" textRotation="0" wrapText="1" indent="0" justifyLastLine="0" shrinkToFit="0" readingOrder="0"/>
    </dxf>
    <dxf>
      <font>
        <strike val="0"/>
        <condense val="0"/>
        <extend val="0"/>
        <outline val="0"/>
        <shadow val="0"/>
        <vertAlign val="baseline"/>
        <sz val="11"/>
        <color theme="1"/>
        <name val="Amasis MT Pro"/>
        <family val="1"/>
        <scheme val="none"/>
      </font>
      <numFmt numFmtId="166" formatCode="#,##0.0_ ;[Red]\-#,##0.0\ "/>
      <fill>
        <patternFill patternType="solid">
          <fgColor theme="4" tint="0.79998168889431442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masis MT Pro"/>
        <family val="1"/>
        <scheme val="none"/>
      </font>
      <numFmt numFmtId="166" formatCode="#,##0.0_ ;[Red]\-#,##0.0\ "/>
      <fill>
        <patternFill patternType="solid">
          <fgColor theme="4" tint="0.79998168889431442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masis MT Pro"/>
        <family val="1"/>
        <scheme val="none"/>
      </font>
      <numFmt numFmtId="166" formatCode="#,##0.0_ ;[Red]\-#,##0.0\ "/>
      <fill>
        <patternFill patternType="solid">
          <fgColor theme="4" tint="0.79998168889431442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masis MT Pro"/>
        <family val="1"/>
        <scheme val="none"/>
      </font>
      <numFmt numFmtId="166" formatCode="#,##0.0_ ;[Red]\-#,##0.0\ "/>
      <fill>
        <patternFill patternType="solid">
          <fgColor theme="4" tint="0.79998168889431442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masis MT Pro"/>
        <family val="1"/>
        <scheme val="none"/>
      </font>
      <numFmt numFmtId="166" formatCode="#,##0.0_ ;[Red]\-#,##0.0\ "/>
      <fill>
        <patternFill patternType="solid">
          <fgColor theme="4" tint="0.79998168889431442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masis MT Pro"/>
        <family val="1"/>
        <scheme val="none"/>
      </font>
      <numFmt numFmtId="166" formatCode="#,##0.0_ ;[Red]\-#,##0.0\ "/>
      <fill>
        <patternFill patternType="solid">
          <fgColor theme="4" tint="0.79998168889431442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masis MT Pro"/>
        <family val="1"/>
        <scheme val="none"/>
      </font>
      <numFmt numFmtId="166" formatCode="#,##0.0_ ;[Red]\-#,##0.0\ "/>
      <fill>
        <patternFill patternType="solid">
          <fgColor theme="4" tint="0.79998168889431442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masis MT Pro"/>
        <family val="1"/>
        <scheme val="none"/>
      </font>
      <numFmt numFmtId="166" formatCode="#,##0.0_ ;[Red]\-#,##0.0\ "/>
      <fill>
        <patternFill patternType="solid">
          <fgColor theme="4" tint="0.79998168889431442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masis MT Pro"/>
        <family val="1"/>
        <scheme val="none"/>
      </font>
      <fill>
        <patternFill patternType="solid">
          <fgColor theme="4" tint="0.79998168889431442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masis MT Pro"/>
        <family val="1"/>
        <scheme val="none"/>
      </font>
      <fill>
        <patternFill patternType="solid">
          <fgColor theme="4" tint="0.79998168889431442"/>
          <bgColor theme="9" tint="0.5999938962981048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masis MT Pro"/>
        <family val="1"/>
        <scheme val="none"/>
      </font>
      <fill>
        <patternFill patternType="solid">
          <fgColor theme="4" tint="0.79998168889431442"/>
          <bgColor theme="9" tint="0.5999938962981048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masis MT Pro"/>
        <family val="1"/>
        <scheme val="none"/>
      </font>
      <fill>
        <patternFill patternType="solid">
          <fgColor theme="4" tint="0.79998168889431442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masis MT Pro"/>
        <family val="1"/>
        <scheme val="none"/>
      </font>
      <fill>
        <patternFill patternType="solid">
          <fgColor theme="4" tint="0.79998168889431442"/>
          <bgColor theme="9" tint="0.5999938962981048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masis MT Pro"/>
        <family val="1"/>
        <scheme val="none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 outline="0">
        <left style="double">
          <color auto="1"/>
        </left>
        <right style="double">
          <color auto="1"/>
        </right>
        <top style="double">
          <color indexed="64"/>
        </top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67" formatCode="#,##0_ ;[Red]\(#,##0\);\-"/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vertical="center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alignment vertical="center" textRotation="0" wrapText="1" indent="0" justifyLastLine="0" shrinkToFit="0" readingOrder="0"/>
    </dxf>
    <dxf>
      <border>
        <bottom style="thin">
          <color auto="1"/>
        </bottom>
      </border>
    </dxf>
    <dxf>
      <alignment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Amasis MT Pro"/>
        <family val="1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top style="thin">
          <color auto="1"/>
        </top>
      </border>
    </dxf>
    <dxf>
      <border outline="0">
        <left style="double">
          <color auto="1"/>
        </left>
        <right style="double">
          <color auto="1"/>
        </right>
        <top style="double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Amasis MT Pro"/>
        <family val="1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Amasis MT Pro"/>
        <family val="1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Amasis MT Pro"/>
        <family val="1"/>
        <scheme val="none"/>
      </font>
    </dxf>
    <dxf>
      <font>
        <name val="Amasis MT Pro"/>
        <family val="1"/>
        <scheme val="none"/>
      </font>
    </dxf>
    <dxf>
      <font>
        <name val="Amasis MT Pro"/>
        <family val="1"/>
        <scheme val="none"/>
      </font>
    </dxf>
    <dxf>
      <font>
        <name val="Amasis MT Pro"/>
        <family val="1"/>
        <scheme val="none"/>
      </font>
    </dxf>
    <dxf>
      <font>
        <name val="Amasis MT Pro"/>
        <family val="1"/>
        <scheme val="none"/>
      </font>
    </dxf>
    <dxf>
      <font>
        <name val="Amasis MT Pro"/>
        <family val="1"/>
        <scheme val="none"/>
      </font>
    </dxf>
    <dxf>
      <font>
        <color rgb="FF000000"/>
      </font>
    </dxf>
    <dxf>
      <font>
        <color rgb="FF000000"/>
      </font>
    </dxf>
    <dxf>
      <font>
        <color rgb="FF000000"/>
      </font>
    </dxf>
    <dxf>
      <font>
        <color rgb="FF000000"/>
      </font>
    </dxf>
    <dxf>
      <font>
        <color rgb="FF000000"/>
      </font>
    </dxf>
    <dxf>
      <font>
        <color rgb="FF00000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masis MT Pro"/>
        <family val="1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masis MT Pro"/>
        <family val="1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auto="1"/>
        </right>
        <top style="thin">
          <color theme="4" tint="0.39997558519241921"/>
        </top>
        <bottom/>
        <vertical/>
        <horizontal/>
      </border>
    </dxf>
    <dxf>
      <border outline="0">
        <left style="double">
          <color auto="1"/>
        </left>
        <right style="double">
          <color auto="1"/>
        </right>
        <top style="double">
          <color indexed="64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masis MT Pro"/>
        <family val="1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masis MT Pro"/>
        <family val="1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masis MT Pro"/>
        <family val="1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masis MT Pro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double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masis MT Pro"/>
        <family val="1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masis MT Pro"/>
        <family val="1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masis MT Pro"/>
        <family val="1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masis MT Pro"/>
        <family val="1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/>
        <vertical/>
        <horizontal/>
      </border>
    </dxf>
    <dxf>
      <border outline="0">
        <left style="double">
          <color auto="1"/>
        </left>
        <right style="double">
          <color auto="1"/>
        </right>
        <top style="double">
          <color auto="1"/>
        </top>
        <bottom style="thin">
          <color auto="1"/>
        </bottom>
      </border>
    </dxf>
    <dxf>
      <alignment horizontal="center" vertical="center" textRotation="0" wrapText="1" indent="0" justifyLastLine="0" shrinkToFit="0" readingOrder="0"/>
    </dxf>
    <dxf>
      <border>
        <top style="thin">
          <color auto="1"/>
        </top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border>
        <bottom style="thin">
          <color auto="1"/>
        </bottom>
      </border>
    </dxf>
    <dxf>
      <font>
        <strike val="0"/>
        <outline val="0"/>
        <shadow val="0"/>
        <vertAlign val="baseline"/>
        <name val="Amasis MT Pro"/>
        <family val="1"/>
      </font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border>
        <top style="thin">
          <color auto="1"/>
        </top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border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2"/>
        <color theme="1"/>
        <name val="Amasis MT Pro"/>
        <family val="1"/>
      </font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border>
        <top style="thin">
          <color auto="1"/>
        </top>
      </border>
    </dxf>
    <dxf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border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2"/>
        <color theme="0"/>
        <name val="Amasis MT Pro"/>
        <family val="1"/>
      </font>
      <fill>
        <patternFill patternType="solid">
          <fgColor theme="4"/>
          <bgColor theme="4"/>
        </patternFill>
      </fill>
      <alignment horizontal="center" vertical="center" wrapText="1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masis MT Pro"/>
        <family val="1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</dxfs>
  <tableStyles count="0" defaultTableStyle="TableStyleMedium2" defaultPivotStyle="PivotStyleLight16"/>
  <colors>
    <mruColors>
      <color rgb="FF00B450"/>
      <color rgb="FFF0AA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lockText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Radio" checked="Checked" firstButton="1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Radio" checked="Checked" firstButton="1" lockText="1" noThreeD="1"/>
</file>

<file path=xl/ctrlProps/ctrlProp17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236220</xdr:colOff>
          <xdr:row>0</xdr:row>
          <xdr:rowOff>60960</xdr:rowOff>
        </xdr:from>
        <xdr:to>
          <xdr:col>1</xdr:col>
          <xdr:colOff>1135380</xdr:colOff>
          <xdr:row>4</xdr:row>
          <xdr:rowOff>15240</xdr:rowOff>
        </xdr:to>
        <xdr:sp macro="" textlink="">
          <xdr:nvSpPr>
            <xdr:cNvPr id="1027" name="btn_cmd_GlobalAnalysis_norma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masis MT Pro"/>
                </a:rPr>
                <a:t>GLOBAL  ANALYSIS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289560</xdr:colOff>
          <xdr:row>0</xdr:row>
          <xdr:rowOff>53340</xdr:rowOff>
        </xdr:from>
        <xdr:to>
          <xdr:col>3</xdr:col>
          <xdr:colOff>1188720</xdr:colOff>
          <xdr:row>4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300" b="1" i="0" u="none" strike="noStrike" baseline="0">
                  <a:solidFill>
                    <a:srgbClr val="0000FF"/>
                  </a:solidFill>
                  <a:latin typeface="Amasis MT Pro Light"/>
                </a:rPr>
                <a:t>GLOBAL ANALYSIS ANONYMISED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0</xdr:row>
          <xdr:rowOff>60960</xdr:rowOff>
        </xdr:from>
        <xdr:to>
          <xdr:col>5</xdr:col>
          <xdr:colOff>1135380</xdr:colOff>
          <xdr:row>4</xdr:row>
          <xdr:rowOff>15240</xdr:rowOff>
        </xdr:to>
        <xdr:sp macro="" textlink="">
          <xdr:nvSpPr>
            <xdr:cNvPr id="1031" name="btn_cmd_CombineddataSummar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de-DE" sz="1400" b="1" i="1" u="none" strike="noStrike" baseline="0">
                  <a:solidFill>
                    <a:srgbClr val="008000"/>
                  </a:solidFill>
                  <a:latin typeface="Amasis MT Pro"/>
                </a:rPr>
                <a:t>GET data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1242060</xdr:colOff>
          <xdr:row>0</xdr:row>
          <xdr:rowOff>121920</xdr:rowOff>
        </xdr:from>
        <xdr:to>
          <xdr:col>7</xdr:col>
          <xdr:colOff>297180</xdr:colOff>
          <xdr:row>2</xdr:row>
          <xdr:rowOff>106680</xdr:rowOff>
        </xdr:to>
        <xdr:sp macro="" textlink="">
          <xdr:nvSpPr>
            <xdr:cNvPr id="1032" name="chbx_includeEbmdailysummar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339966" mc:Ignorable="a14" a14:legacySpreadsheetColorIndex="57">
                <a:alpha val="25000"/>
              </a:srgbClr>
            </a:solidFill>
            <a:ln>
              <a:noFill/>
            </a:ln>
            <a:extLst>
              <a:ext uri="{91240B29-F687-4F45-9708-019B960494DF}">
                <a14:hiddenLine w="1905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Include EBM daily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1234440</xdr:colOff>
          <xdr:row>2</xdr:row>
          <xdr:rowOff>152400</xdr:rowOff>
        </xdr:from>
        <xdr:to>
          <xdr:col>7</xdr:col>
          <xdr:colOff>289560</xdr:colOff>
          <xdr:row>4</xdr:row>
          <xdr:rowOff>45720</xdr:rowOff>
        </xdr:to>
        <xdr:sp macro="" textlink="">
          <xdr:nvSpPr>
            <xdr:cNvPr id="1033" name="chbx_includePayabl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FF" mc:Ignorable="a14" a14:legacySpreadsheetColorIndex="39">
                <a:alpha val="39999"/>
              </a:srgbClr>
            </a:solidFill>
            <a:ln>
              <a:noFill/>
            </a:ln>
            <a:extLst>
              <a:ext uri="{91240B29-F687-4F45-9708-019B960494DF}">
                <a14:hiddenLine w="1905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Include  PAYABLES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967740</xdr:colOff>
          <xdr:row>7</xdr:row>
          <xdr:rowOff>45720</xdr:rowOff>
        </xdr:from>
        <xdr:to>
          <xdr:col>5</xdr:col>
          <xdr:colOff>22860</xdr:colOff>
          <xdr:row>8</xdr:row>
          <xdr:rowOff>91440</xdr:rowOff>
        </xdr:to>
        <xdr:sp macro="" textlink="">
          <xdr:nvSpPr>
            <xdr:cNvPr id="1034" name="chbx_include_EbmEtaxPurchase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>
                <a:alpha val="25000"/>
              </a:srgbClr>
            </a:solidFill>
            <a:ln>
              <a:noFill/>
            </a:ln>
            <a:extLst>
              <a:ext uri="{91240B29-F687-4F45-9708-019B960494DF}">
                <a14:hiddenLine w="4445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Include Ebm-Etax (Purchases)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967740</xdr:colOff>
          <xdr:row>8</xdr:row>
          <xdr:rowOff>137160</xdr:rowOff>
        </xdr:from>
        <xdr:to>
          <xdr:col>5</xdr:col>
          <xdr:colOff>22860</xdr:colOff>
          <xdr:row>10</xdr:row>
          <xdr:rowOff>22860</xdr:rowOff>
        </xdr:to>
        <xdr:sp macro="" textlink="">
          <xdr:nvSpPr>
            <xdr:cNvPr id="1035" name="chbx_include_EbmEtaxSale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>
                <a:alpha val="25000"/>
              </a:srgbClr>
            </a:solidFill>
            <a:ln>
              <a:noFill/>
            </a:ln>
            <a:extLst>
              <a:ext uri="{91240B29-F687-4F45-9708-019B960494DF}">
                <a14:hiddenLine w="4445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Include Ebm-Etax (Sales)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114300</xdr:colOff>
          <xdr:row>8</xdr:row>
          <xdr:rowOff>137160</xdr:rowOff>
        </xdr:from>
        <xdr:to>
          <xdr:col>6</xdr:col>
          <xdr:colOff>541020</xdr:colOff>
          <xdr:row>10</xdr:row>
          <xdr:rowOff>22860</xdr:rowOff>
        </xdr:to>
        <xdr:sp macro="" textlink="">
          <xdr:nvSpPr>
            <xdr:cNvPr id="1036" name="chbx_include_EtaxEbmSale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FF" mc:Ignorable="a14" a14:legacySpreadsheetColorIndex="39">
                <a:alpha val="25000"/>
              </a:srgbClr>
            </a:solidFill>
            <a:ln>
              <a:noFill/>
            </a:ln>
            <a:extLst>
              <a:ext uri="{91240B29-F687-4F45-9708-019B960494DF}">
                <a14:hiddenLine w="4445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Include Etax-Ebm (Sales)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121920</xdr:colOff>
          <xdr:row>7</xdr:row>
          <xdr:rowOff>45720</xdr:rowOff>
        </xdr:from>
        <xdr:to>
          <xdr:col>6</xdr:col>
          <xdr:colOff>548640</xdr:colOff>
          <xdr:row>8</xdr:row>
          <xdr:rowOff>99060</xdr:rowOff>
        </xdr:to>
        <xdr:sp macro="" textlink="">
          <xdr:nvSpPr>
            <xdr:cNvPr id="1037" name="chbx_include_EtaxEbmPurchase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FF" mc:Ignorable="a14" a14:legacySpreadsheetColorIndex="39">
                <a:alpha val="25000"/>
              </a:srgbClr>
            </a:solidFill>
            <a:ln>
              <a:noFill/>
            </a:ln>
            <a:extLst>
              <a:ext uri="{91240B29-F687-4F45-9708-019B960494DF}">
                <a14:hiddenLine w="4445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Include Etax-Ebm (Purchases)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906780</xdr:colOff>
          <xdr:row>6</xdr:row>
          <xdr:rowOff>53340</xdr:rowOff>
        </xdr:from>
        <xdr:to>
          <xdr:col>6</xdr:col>
          <xdr:colOff>617220</xdr:colOff>
          <xdr:row>13</xdr:row>
          <xdr:rowOff>0</xdr:rowOff>
        </xdr:to>
        <xdr:sp macro="" textlink="">
          <xdr:nvSpPr>
            <xdr:cNvPr id="1039" name="EbmEtax_comparison_frame" descr="EBM DATA vs ETAX (Declared) DATA COMPARISON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3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EBM DATA vs ETAX (Declared) DATA COMPARISON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358140</xdr:colOff>
          <xdr:row>10</xdr:row>
          <xdr:rowOff>76200</xdr:rowOff>
        </xdr:from>
        <xdr:to>
          <xdr:col>5</xdr:col>
          <xdr:colOff>1143000</xdr:colOff>
          <xdr:row>12</xdr:row>
          <xdr:rowOff>91440</xdr:rowOff>
        </xdr:to>
        <xdr:sp macro="" textlink="">
          <xdr:nvSpPr>
            <xdr:cNvPr id="1040" name="chbx_include_EbmBoZreport_Sales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3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>
                <a:alpha val="25000"/>
              </a:srgbClr>
            </a:solidFill>
            <a:ln w="190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Include Ebm Backoffice - Z report (Sales)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1988820</xdr:colOff>
          <xdr:row>4</xdr:row>
          <xdr:rowOff>76200</xdr:rowOff>
        </xdr:from>
        <xdr:to>
          <xdr:col>11</xdr:col>
          <xdr:colOff>670560</xdr:colOff>
          <xdr:row>7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B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FF"/>
                  </a:solidFill>
                  <a:latin typeface="Amasis MT Pro"/>
                </a:rPr>
                <a:t>PRINT</a:t>
              </a:r>
            </a:p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FF"/>
                  </a:solidFill>
                  <a:latin typeface="Amasis MT Pro"/>
                </a:rPr>
                <a:t>PURCHASES BY SUPPLIER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0</xdr:row>
          <xdr:rowOff>7620</xdr:rowOff>
        </xdr:from>
        <xdr:to>
          <xdr:col>11</xdr:col>
          <xdr:colOff>556260</xdr:colOff>
          <xdr:row>2</xdr:row>
          <xdr:rowOff>30480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B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FF" mc:Ignorable="a14" a14:legacySpreadsheetColorIndex="27">
                <a:alpha val="50000"/>
              </a:srgbClr>
            </a:solidFill>
            <a:ln>
              <a:noFill/>
            </a:ln>
            <a:extLst>
              <a:ext uri="{91240B29-F687-4F45-9708-019B960494DF}">
                <a14:hiddenLine w="1905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KINYARWANDA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2</xdr:row>
          <xdr:rowOff>60960</xdr:rowOff>
        </xdr:from>
        <xdr:to>
          <xdr:col>11</xdr:col>
          <xdr:colOff>556260</xdr:colOff>
          <xdr:row>4</xdr:row>
          <xdr:rowOff>38100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B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/>
            </a:solidFill>
            <a:ln>
              <a:noFill/>
            </a:ln>
            <a:extLst>
              <a:ext uri="{91240B29-F687-4F45-9708-019B960494DF}">
                <a14:hiddenLine w="38100" cmpd="dbl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1988820</xdr:colOff>
          <xdr:row>4</xdr:row>
          <xdr:rowOff>76200</xdr:rowOff>
        </xdr:from>
        <xdr:to>
          <xdr:col>11</xdr:col>
          <xdr:colOff>670560</xdr:colOff>
          <xdr:row>7</xdr:row>
          <xdr:rowOff>144780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E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FF"/>
                  </a:solidFill>
                  <a:latin typeface="Amasis MT Pro"/>
                </a:rPr>
                <a:t>PRINT</a:t>
              </a:r>
            </a:p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FF"/>
                  </a:solidFill>
                  <a:latin typeface="Amasis MT Pro"/>
                </a:rPr>
                <a:t>PURCHASES BY SUPPLIER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0</xdr:row>
          <xdr:rowOff>7620</xdr:rowOff>
        </xdr:from>
        <xdr:to>
          <xdr:col>11</xdr:col>
          <xdr:colOff>556260</xdr:colOff>
          <xdr:row>2</xdr:row>
          <xdr:rowOff>30480</xdr:rowOff>
        </xdr:to>
        <xdr:sp macro="" textlink="">
          <xdr:nvSpPr>
            <xdr:cNvPr id="10242" name="Option 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E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FF" mc:Ignorable="a14" a14:legacySpreadsheetColorIndex="27">
                <a:alpha val="50000"/>
              </a:srgbClr>
            </a:solidFill>
            <a:ln>
              <a:noFill/>
            </a:ln>
            <a:extLst>
              <a:ext uri="{91240B29-F687-4F45-9708-019B960494DF}">
                <a14:hiddenLine w="1905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KINYARWANDA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2</xdr:row>
          <xdr:rowOff>60960</xdr:rowOff>
        </xdr:from>
        <xdr:to>
          <xdr:col>11</xdr:col>
          <xdr:colOff>556260</xdr:colOff>
          <xdr:row>4</xdr:row>
          <xdr:rowOff>38100</xdr:rowOff>
        </xdr:to>
        <xdr:sp macro="" textlink="">
          <xdr:nvSpPr>
            <xdr:cNvPr id="10243" name="Option 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E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/>
            </a:solidFill>
            <a:ln>
              <a:noFill/>
            </a:ln>
            <a:extLst>
              <a:ext uri="{91240B29-F687-4F45-9708-019B960494DF}">
                <a14:hiddenLine w="38100" cmpd="dbl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535e6117dec954b/FINDAP/ONLINE%20APPLICATION/Template_Findap_Ebm-Etax_Reports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an Jacques MUTABARUKA" refreshedDate="44999.083184374998" createdVersion="8" refreshedVersion="8" minRefreshableVersion="3" recordCount="1" xr:uid="{43074C55-C707-4B53-B3BD-263D4A99C2E4}">
  <cacheSource type="worksheet">
    <worksheetSource ref="V1:X2" sheet="Home"/>
  </cacheSource>
  <cacheFields count="3">
    <cacheField name="PARAMS_01" numFmtId="0">
      <sharedItems containsNonDate="0" containsString="0" containsBlank="1"/>
    </cacheField>
    <cacheField name="PARAMS_02" numFmtId="0">
      <sharedItems containsNonDate="0" containsString="0" containsBlank="1"/>
    </cacheField>
    <cacheField name="PARAMS_03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AN JACQUES MUTABARUKA" refreshedDate="45235.894052314812" createdVersion="8" refreshedVersion="8" minRefreshableVersion="3" recordCount="1" xr:uid="{D4258161-7200-4B59-99D7-D8BA99E366C2}">
  <cacheSource type="worksheet">
    <worksheetSource name="tbl_Params" r:id="rId2"/>
  </cacheSource>
  <cacheFields count="3">
    <cacheField name="PARAMS_01" numFmtId="0">
      <sharedItems containsNonDate="0" containsString="0" containsBlank="1"/>
    </cacheField>
    <cacheField name="PARAMS_02" numFmtId="0">
      <sharedItems containsNonDate="0" containsString="0" containsBlank="1"/>
    </cacheField>
    <cacheField name="PARAMS_03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0528EF-3CD8-4859-8F23-76B52DE87BB2}" name="pvt_Findapreport" cacheId="745" applyNumberFormats="0" applyBorderFormats="0" applyFontFormats="0" applyPatternFormats="0" applyAlignmentFormats="0" applyWidthHeightFormats="1" dataCaption="Values" updatedVersion="8" minRefreshableVersion="3" asteriskTotals="1" useAutoFormatting="1" itemPrintTitles="1" createdVersion="8" indent="0" outline="1" outlineData="1" multipleFieldFilters="0" rowHeaderCaption="CATEGORIES">
  <location ref="B3:D20" firstHeaderRow="1" firstDataRow="1" firstDataCol="0"/>
  <pivotFields count="3">
    <pivotField showAll="0"/>
    <pivotField showAll="0"/>
    <pivotField showAll="0"/>
  </pivotFields>
  <formats count="30">
    <format dxfId="94">
      <pivotArea type="all" dataOnly="0" outline="0" fieldPosition="0"/>
    </format>
    <format dxfId="93">
      <pivotArea outline="0" collapsedLevelsAreSubtotals="1" fieldPosition="0"/>
    </format>
    <format dxfId="92">
      <pivotArea type="origin" dataOnly="0" labelOnly="1" outline="0" fieldPosition="0"/>
    </format>
    <format dxfId="91">
      <pivotArea field="-2" type="button" dataOnly="0" labelOnly="1" outline="0"/>
    </format>
    <format dxfId="90">
      <pivotArea type="topRight" dataOnly="0" labelOnly="1" outline="0" fieldPosition="0"/>
    </format>
    <format dxfId="89">
      <pivotArea dataOnly="0" labelOnly="1" grandRow="1" outline="0" fieldPosition="0"/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type="origin" dataOnly="0" labelOnly="1" outline="0" fieldPosition="0"/>
    </format>
    <format dxfId="85">
      <pivotArea field="-2" type="button" dataOnly="0" labelOnly="1" outline="0"/>
    </format>
    <format dxfId="84">
      <pivotArea type="topRight" dataOnly="0" labelOnly="1" outline="0" fieldPosition="0"/>
    </format>
    <format dxfId="83">
      <pivotArea dataOnly="0" labelOnly="1" grandRow="1" outline="0" fieldPosition="0"/>
    </format>
    <format dxfId="82">
      <pivotArea type="all" dataOnly="0" outline="0" fieldPosition="0"/>
    </format>
    <format dxfId="81">
      <pivotArea outline="0" collapsedLevelsAreSubtotals="1" fieldPosition="0"/>
    </format>
    <format dxfId="80">
      <pivotArea type="origin" dataOnly="0" labelOnly="1" outline="0" fieldPosition="0"/>
    </format>
    <format dxfId="79">
      <pivotArea field="-2" type="button" dataOnly="0" labelOnly="1" outline="0"/>
    </format>
    <format dxfId="78">
      <pivotArea type="topRight" dataOnly="0" labelOnly="1" outline="0" fieldPosition="0"/>
    </format>
    <format dxfId="77">
      <pivotArea dataOnly="0" labelOnly="1" grandRow="1" outline="0" fieldPosition="0"/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type="origin" dataOnly="0" labelOnly="1" outline="0" fieldPosition="0"/>
    </format>
    <format dxfId="73">
      <pivotArea field="-2" type="button" dataOnly="0" labelOnly="1" outline="0"/>
    </format>
    <format dxfId="72">
      <pivotArea type="topRight" dataOnly="0" labelOnly="1" outline="0" fieldPosition="0"/>
    </format>
    <format dxfId="71">
      <pivotArea dataOnly="0" labelOnly="1" grandRow="1" outline="0" fieldPosition="0"/>
    </format>
    <format dxfId="70">
      <pivotArea type="all" dataOnly="0" outline="0" fieldPosition="0"/>
    </format>
    <format dxfId="69">
      <pivotArea outline="0" collapsedLevelsAreSubtotals="1" fieldPosition="0"/>
    </format>
    <format dxfId="68">
      <pivotArea type="origin" dataOnly="0" labelOnly="1" outline="0" fieldPosition="0"/>
    </format>
    <format dxfId="67">
      <pivotArea field="-2" type="button" dataOnly="0" labelOnly="1" outline="0"/>
    </format>
    <format dxfId="66">
      <pivotArea type="topRight" dataOnly="0" labelOnly="1" outline="0" fieldPosition="0"/>
    </format>
    <format dxfId="65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1C6A5-6A5B-41A5-9646-26033DA86EE0}" name="pvt_Salesbymonth" cacheId="7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D21" firstHeaderRow="1" firstDataRow="1" firstDataCol="0"/>
  <pivotFields count="3">
    <pivotField showAll="0"/>
    <pivotField showAll="0"/>
    <pivotField showAll="0"/>
  </pivotFields>
  <formats count="1">
    <format dxfId="47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B40415-9678-467C-AFAC-605C013AF47F}" name="pvt_Purchasesbymonth" cacheId="7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D21" firstHeaderRow="1" firstDataRow="1" firstDataCol="0"/>
  <pivotFields count="3">
    <pivotField showAll="0"/>
    <pivotField showAll="0"/>
    <pivotField showAll="0"/>
  </pivotFields>
  <formats count="1">
    <format dxfId="46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FBA755-54CE-4B83-A77C-5EEB03EFD5D8}" name="pvt_EbmEtaxPurchasescomparison" cacheId="7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5:D22" firstHeaderRow="1" firstDataRow="1" firstDataCol="0"/>
  <pivotFields count="3">
    <pivotField showAll="0"/>
    <pivotField showAll="0"/>
    <pivotField showAll="0"/>
  </pivotFields>
  <formats count="1">
    <format dxfId="45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11E28F-81D3-4097-BAAC-A836E00B3211}" name="pvt_EbmEtaxSalescomparison" cacheId="7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5:D22" firstHeaderRow="1" firstDataRow="1" firstDataCol="0"/>
  <pivotFields count="3">
    <pivotField showAll="0"/>
    <pivotField showAll="0"/>
    <pivotField showAll="0"/>
  </pivotFields>
  <formats count="1">
    <format dxfId="44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875303-6150-462A-BEEF-A257C23DCE66}" name="pvt_Salesbyclient" cacheId="7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D21" firstHeaderRow="1" firstDataRow="1" firstDataCol="0"/>
  <pivotFields count="3">
    <pivotField showAll="0"/>
    <pivotField showAll="0"/>
    <pivotField showAll="0"/>
  </pivotFields>
  <formats count="1">
    <format dxfId="43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DB7F43-F29F-4266-B1F7-94B4042CB0A3}" name="pvt_Purchasesbysupplier" cacheId="7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D21" firstHeaderRow="1" firstDataRow="1" firstDataCol="0"/>
  <pivotFields count="3">
    <pivotField showAll="0"/>
    <pivotField showAll="0"/>
    <pivotField showAll="0"/>
  </pivotFields>
  <formats count="1">
    <format dxfId="42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118BC4-AF6D-48DF-A45B-49E1B90AAA8A}" name="pvt_Salesbymonth" cacheId="7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D21" firstHeaderRow="1" firstDataRow="1" firstDataCol="0"/>
  <pivotFields count="3">
    <pivotField showAll="0"/>
    <pivotField showAll="0"/>
    <pivotField showAll="0"/>
  </pivotFields>
  <formats count="1">
    <format dxfId="41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C07CD9-5A48-4183-B44F-262B86D46EF8}" name="pvt_Purchasesbymonth" cacheId="7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D21" firstHeaderRow="1" firstDataRow="1" firstDataCol="0"/>
  <pivotFields count="3">
    <pivotField showAll="0"/>
    <pivotField showAll="0"/>
    <pivotField showAll="0"/>
  </pivotFields>
  <formats count="1">
    <format dxfId="40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C915D4-7F03-479A-95F4-5D120AFA3D4B}" name="pvt_Purchasesbysupplier" cacheId="7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D21" firstHeaderRow="1" firstDataRow="1" firstDataCol="0"/>
  <pivotFields count="3">
    <pivotField showAll="0"/>
    <pivotField showAll="0"/>
    <pivotField showAll="0"/>
  </pivotFields>
  <formats count="1">
    <format dxfId="39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E42729-4F3E-4322-A8D9-DAF971A91E4F}" name="pvt_Salesbyclient" cacheId="7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D21" firstHeaderRow="1" firstDataRow="1" firstDataCol="0"/>
  <pivotFields count="3">
    <pivotField showAll="0"/>
    <pivotField showAll="0"/>
    <pivotField showAll="0"/>
  </pivotFields>
  <formats count="1">
    <format dxfId="38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7161BF-59DF-49E4-A507-8BB45640C108}" name="pvt_Payrolletax" cacheId="7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9:D26" firstHeaderRow="1" firstDataRow="1" firstDataCol="0"/>
  <pivotFields count="3">
    <pivotField showAll="0"/>
    <pivotField showAll="0"/>
    <pivotField showAll="0"/>
  </pivotFields>
  <formats count="1">
    <format dxfId="37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0D8F66-C7DB-4D9C-A209-129E9B6E8B45}" name="tbl_Technicalparams_Yearfield" displayName="tbl_Technicalparams_Yearfield" ref="Q2:T51" totalsRowShown="0" headerRowDxfId="123" headerRowBorderDxfId="122" tableBorderDxfId="121" totalsRowBorderDxfId="120">
  <autoFilter ref="Q2:T51" xr:uid="{4A0D8F66-C7DB-4D9C-A209-129E9B6E8B45}"/>
  <tableColumns count="4">
    <tableColumn id="1" xr3:uid="{322BDC13-3EEF-4AA2-81B1-8DDC57FEB1E5}" name="PIVOT TABLE SHEETNAME" dataDxfId="21"/>
    <tableColumn id="2" xr3:uid="{4009DACE-4FA2-4167-B4A9-1AC05516635C}" name="PIVOT TABLE NAME" dataDxfId="20"/>
    <tableColumn id="3" xr3:uid="{60F49A4C-84AC-486C-AF06-CF88600C895C}" name="YEAR FIELD ORIENTATION" dataDxfId="19"/>
    <tableColumn id="4" xr3:uid="{9EFE5DA9-6048-432F-80FC-3ED6A6973D8F}" name="COMPACT LAYOUT CAPTION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1818CC2-159E-4EB6-AD1A-536A87F2DFFB}" name="tbl_Technicalparams_Slicers" displayName="tbl_Technicalparams_Slicers" ref="A2:N210" totalsRowShown="0" headerRowDxfId="119" dataDxfId="22" headerRowBorderDxfId="118" tableBorderDxfId="117" totalsRowBorderDxfId="116">
  <autoFilter ref="A2:N210" xr:uid="{E1818CC2-159E-4EB6-AD1A-536A87F2DFFB}"/>
  <tableColumns count="14">
    <tableColumn id="1" xr3:uid="{1084A1B7-9F08-4F70-BBF8-83D984E6BEDA}" name="SLICER SHEETNAME" dataDxfId="36"/>
    <tableColumn id="2" xr3:uid="{481E798E-339C-45A9-B25F-F7A4A365A687}" name="PIVOT TABLE SOURCE" dataDxfId="35"/>
    <tableColumn id="3" xr3:uid="{A2EB7FFB-068B-431B-A0D8-C9E60D5067AD}" name="SLICER FIELD SOURCE" dataDxfId="34"/>
    <tableColumn id="4" xr3:uid="{78CA1D9B-DC14-4A73-B410-635E7F6C3E3E}" name="SLICER LEVEL" dataDxfId="33"/>
    <tableColumn id="5" xr3:uid="{6BA60D52-4A51-40AD-A6A2-0DCC21E4BD5D}" name="SLICER NAME" dataDxfId="32"/>
    <tableColumn id="6" xr3:uid="{48CFBB54-1504-4D13-ABD8-88ED464E6528}" name="SLICER CAPTION" dataDxfId="31"/>
    <tableColumn id="7" xr3:uid="{9FB19DF8-D785-4488-9ECE-8101A07E72FE}" name="TOP" dataDxfId="30"/>
    <tableColumn id="8" xr3:uid="{987B6549-A27B-4F44-81C6-7D9692188C05}" name="LEFT" dataDxfId="29"/>
    <tableColumn id="9" xr3:uid="{9B1E760C-F2CA-421A-A390-DA3A236ECDA3}" name="WIDTH" dataDxfId="28"/>
    <tableColumn id="10" xr3:uid="{3ED33154-8959-4B19-A944-AF73B1FA2520}" name="HEIGHT" dataDxfId="27"/>
    <tableColumn id="11" xr3:uid="{A86C9583-B681-44AE-A06B-52568B352A1D}" name="Number Of Columns" dataDxfId="26"/>
    <tableColumn id="12" xr3:uid="{D2FADF7E-0328-498F-907C-EFA3A59AC3E1}" name="Placement" dataDxfId="25"/>
    <tableColumn id="13" xr3:uid="{4F73124B-C24F-458F-BDA4-C5BD394090E1}" name="PrintObject" dataDxfId="24"/>
    <tableColumn id="14" xr3:uid="{577D0050-63F2-497A-8570-C31142F4E1F3}" name="Row HEIGHT parameters" dataDxfId="2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82CC84-14CC-4C84-A99A-7789CB11F82C}" name="tbl_Pivotparams" displayName="tbl_Pivotparams" ref="Q2:AD388" totalsRowShown="0" headerRowDxfId="115" dataDxfId="3" headerRowBorderDxfId="114" tableBorderDxfId="113" totalsRowBorderDxfId="112">
  <autoFilter ref="Q2:AD388" xr:uid="{48FF0390-3830-4336-9327-B2102C9F1EAE}"/>
  <tableColumns count="14">
    <tableColumn id="1" xr3:uid="{6E7504BC-BC2B-46E4-A031-383146C714DC}" name="PIVOT TABLE NAME" dataDxfId="17"/>
    <tableColumn id="2" xr3:uid="{139ADD0C-7E75-46F7-8412-88512043854C}" name="PIVOTFIELD NAME" dataDxfId="16"/>
    <tableColumn id="3" xr3:uid="{7EBCC68B-DC1B-4148-A618-FE4794AD9FE2}" name="PIVOTFIELD CAPTION" dataDxfId="15"/>
    <tableColumn id="4" xr3:uid="{FB3677D3-7F41-475A-8002-6749E70BB094}" name="PIVOTFIELD FUNCTION" dataDxfId="14"/>
    <tableColumn id="5" xr3:uid="{F81DA9CD-E66B-4F91-A3D8-AEA515405257}" name="PIVOTFIELD ORIENTATION" dataDxfId="13"/>
    <tableColumn id="6" xr3:uid="{C353D45A-A05A-4C50-B39C-99F1AC952556}" name="PIVOTFIELD POSITION" dataDxfId="12"/>
    <tableColumn id="7" xr3:uid="{DB1AE53C-A3DD-4F58-A882-B19E15FF081A}" name="PIVOTFIELD LAYOUT FORM" dataDxfId="11"/>
    <tableColumn id="8" xr3:uid="{ED1F8E29-7774-44CB-A4F7-F675E59CBA08}" name="PIVOTFIELD LAYOUT COMPACT ROW" dataDxfId="10"/>
    <tableColumn id="9" xr3:uid="{C8F81EC6-45D3-4B23-9820-4BA07F214E70}" name="PIVOTFIELD LAYOUT BLANK LINE" dataDxfId="9"/>
    <tableColumn id="10" xr3:uid="{FFB93594-908D-41A7-8327-146D1F1DCBEE}" name="PIVOTFIELD SUBTOTAL" dataDxfId="8"/>
    <tableColumn id="11" xr3:uid="{CACB03D7-B805-4EF1-87EB-65026C174D44}" name="PIVOTFIELD AUTOSORT" dataDxfId="7"/>
    <tableColumn id="12" xr3:uid="{5F5E8BC7-09C4-4912-A47C-73835913DCE6}" name="PIVOTFIELD AUTOSORT FIELD" dataDxfId="6"/>
    <tableColumn id="13" xr3:uid="{2CF43EA0-99AB-45A4-B8F8-724AED167152}" name="PIVOTFIELD VALUES CALCULATION" dataDxfId="5"/>
    <tableColumn id="14" xr3:uid="{36E69C8D-1C05-4C5E-8082-8A7A37C7F97E}" name="PIVOTFIELD NUMBER FORMAT" dataDxf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BBBAE0-00B2-4775-9C1C-51F1E7539B2B}" name="tbl_Handledrawdata75" displayName="tbl_Handledrawdata75" ref="B2:D511" totalsRowShown="0" headerRowDxfId="111" headerRowBorderDxfId="110" tableBorderDxfId="109" totalsRowBorderDxfId="108">
  <autoFilter ref="B2:D511" xr:uid="{5E36CE17-2C20-41F8-9528-B86C6552AABD}"/>
  <tableColumns count="3">
    <tableColumn id="1" xr3:uid="{83C9C1B3-E285-4CC2-B4E2-827C66F232C8}" name="SHEET NAME" dataDxfId="2"/>
    <tableColumn id="2" xr3:uid="{615CDF89-B1B2-4CAD-AFC9-F3A3DD25BA56}" name="FIELD NAME" dataDxfId="1"/>
    <tableColumn id="3" xr3:uid="{6DD63C22-4F14-40A4-960B-A70E7D2E8B5E}" name="FORMULA VALUE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8A478A0-557B-4DAC-8DD4-75BB7C0A6252}" name="tbl_Findapreports_parameters" displayName="tbl_Findapreports_parameters" ref="I2:O37" totalsRowShown="0" headerRowDxfId="107" tableBorderDxfId="106">
  <autoFilter ref="I2:O37" xr:uid="{C8A478A0-557B-4DAC-8DD4-75BB7C0A6252}"/>
  <tableColumns count="7">
    <tableColumn id="1" xr3:uid="{DA6A0727-727C-474E-A6D1-1D98BCA7DC79}" name="FINDAP REPORT SHEETNAME" dataDxfId="105"/>
    <tableColumn id="2" xr3:uid="{494ED5C4-B437-451D-A217-EB2FF6479912}" name="PIVOT TABLE NAME" dataDxfId="104"/>
    <tableColumn id="3" xr3:uid="{7D4268C6-9C3D-4B61-A446-279D3C0E3570}" name="DATA SOURCE TABLE NAME" dataDxfId="103"/>
    <tableColumn id="4" xr3:uid="{EB9B23AE-B868-4703-9E03-5436D6B247B4}" name="FINDAP REPORT 1st ROW TITLE" dataDxfId="102"/>
    <tableColumn id="5" xr3:uid="{DC96084D-9339-4A38-9DC8-E211796789D5}" name="FINDAP REPORT TITLE" dataDxfId="101"/>
    <tableColumn id="6" xr3:uid="{2DB8B435-B508-4D37-9302-9F473F820D0E}" name="FINDAP REPORT Title Rows to print" dataDxfId="100"/>
    <tableColumn id="7" xr3:uid="{022C0202-31C2-447D-9CFC-84473B7B919D}" name="FINDAP REPORT generate report" dataDxfId="9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487259-E8F2-43B5-A014-AE8576DEF8C7}" name="tbl_Findapreports_rawdatatables" displayName="tbl_Findapreports_rawdatatables" ref="F2:G45" totalsRowShown="0" headerRowDxfId="98" tableBorderDxfId="97">
  <autoFilter ref="F2:G45" xr:uid="{BD487259-E8F2-43B5-A014-AE8576DEF8C7}"/>
  <tableColumns count="2">
    <tableColumn id="1" xr3:uid="{4884A199-DA89-4FA9-8F79-AAC2FBF24DAC}" name="FINDAP RAW DATA SHEETNAME" dataDxfId="96"/>
    <tableColumn id="2" xr3:uid="{164625B1-12CB-446C-90F8-0525744E4B5E}" name="FINDAP RAW DATA TABLE NAME" dataDxfId="9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9E4EAF-DC8A-4614-B12D-2492CB0CE0A6}" name="tbl_Language" displayName="tbl_Language" ref="Z1:Z5" totalsRowShown="0" headerRowDxfId="64" dataDxfId="62" headerRowBorderDxfId="63" tableBorderDxfId="61" totalsRowBorderDxfId="60">
  <autoFilter ref="Z1:Z5" xr:uid="{B19E4EAF-DC8A-4614-B12D-2492CB0CE0A6}"/>
  <tableColumns count="1">
    <tableColumn id="1" xr3:uid="{A8143A7C-4D96-4A10-81F3-707FC9988345}" name="LANGUAGE" dataDxfId="5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0F22FA-D02E-4681-84AA-31DACE01B354}" name="tbl_tobecalculated" displayName="tbl_tobecalculated" ref="A1:D6" totalsRowShown="0" headerRowDxfId="58" dataDxfId="56" headerRowBorderDxfId="57" tableBorderDxfId="55" totalsRowBorderDxfId="54">
  <autoFilter ref="A1:D6" xr:uid="{480F22FA-D02E-4681-84AA-31DACE01B354}"/>
  <tableColumns count="4">
    <tableColumn id="1" xr3:uid="{12629064-C12C-4E33-9682-F135B4A8B057}" name="KEY" dataDxfId="53">
      <calculatedColumnFormula>CONCATENATE(tbl_tobecalculated[[#This Row],[TRANSACTION TYPE]],tbl_tobecalculated[[#This Row],[TRANSACTION ORIGIN]])</calculatedColumnFormula>
    </tableColumn>
    <tableColumn id="2" xr3:uid="{4C623B11-404C-46FE-8992-9F8A9573BABC}" name="TRANSACTION TYPE" dataDxfId="52"/>
    <tableColumn id="3" xr3:uid="{668C05A1-087B-4EEC-AA3E-DF99F7526C8E}" name="TRANSACTION ORIGIN" dataDxfId="51"/>
    <tableColumn id="4" xr3:uid="{B46EA3BB-A5E3-4626-81C9-1FDD3CF677A7}" name="AMOUNT SIGN" dataDxfId="5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CEDB89-2582-410C-BA3E-0DD98433CCF3}" name="tbl_SheetsrenamingParams" displayName="tbl_SheetsrenamingParams" ref="A1:B5" totalsRowShown="0" headerRowDxfId="49" tableBorderDxfId="48">
  <autoFilter ref="A1:B5" xr:uid="{71CEDB89-2582-410C-BA3E-0DD98433CCF3}"/>
  <tableColumns count="2">
    <tableColumn id="1" xr3:uid="{6510A3C6-3926-45EF-84B3-D927DA2AA706}" name="SHEET TO RENAME"/>
    <tableColumn id="2" xr3:uid="{D69A5CA8-62E6-4F59-9157-797ED41E344A}" name="SHEET NEW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6" Type="http://schemas.openxmlformats.org/officeDocument/2006/relationships/comments" Target="../comments1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7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14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7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3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0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4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241CC-4B38-40AB-B308-C0BDB5122514}">
  <sheetPr codeName="Sheet17">
    <tabColor theme="0" tint="-0.499984740745262"/>
  </sheetPr>
  <dimension ref="A1:T210"/>
  <sheetViews>
    <sheetView zoomScale="70" zoomScaleNormal="70"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Q3" sqref="Q3:T51"/>
    </sheetView>
  </sheetViews>
  <sheetFormatPr defaultColWidth="13.21875" defaultRowHeight="14.4" x14ac:dyDescent="0.3"/>
  <cols>
    <col min="1" max="1" width="21.88671875" bestFit="1" customWidth="1"/>
    <col min="2" max="2" width="27.88671875" customWidth="1"/>
    <col min="3" max="3" width="22.44140625" customWidth="1"/>
    <col min="4" max="5" width="15.21875" bestFit="1" customWidth="1"/>
    <col min="6" max="6" width="17.88671875" bestFit="1" customWidth="1"/>
    <col min="7" max="7" width="12.21875" bestFit="1" customWidth="1"/>
    <col min="8" max="8" width="13" bestFit="1" customWidth="1"/>
    <col min="9" max="9" width="15.5546875" bestFit="1" customWidth="1"/>
    <col min="10" max="10" width="16.44140625" bestFit="1" customWidth="1"/>
    <col min="11" max="11" width="19" bestFit="1" customWidth="1"/>
    <col min="12" max="12" width="18.33203125" bestFit="1" customWidth="1"/>
    <col min="13" max="13" width="19.33203125" bestFit="1" customWidth="1"/>
    <col min="14" max="14" width="21.88671875" bestFit="1" customWidth="1"/>
    <col min="17" max="18" width="22.6640625" bestFit="1" customWidth="1"/>
    <col min="19" max="19" width="23.77734375" bestFit="1" customWidth="1"/>
    <col min="20" max="20" width="19" bestFit="1" customWidth="1"/>
  </cols>
  <sheetData>
    <row r="1" spans="1:20" ht="15.6" thickTop="1" thickBot="1" x14ac:dyDescent="0.35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</row>
    <row r="2" spans="1:20" ht="49.2" thickTop="1" x14ac:dyDescent="0.3">
      <c r="A2" s="203" t="s">
        <v>19</v>
      </c>
      <c r="B2" s="204" t="s">
        <v>20</v>
      </c>
      <c r="C2" s="204" t="s">
        <v>21</v>
      </c>
      <c r="D2" s="204" t="s">
        <v>22</v>
      </c>
      <c r="E2" s="204" t="s">
        <v>23</v>
      </c>
      <c r="F2" s="204" t="s">
        <v>24</v>
      </c>
      <c r="G2" s="204" t="s">
        <v>25</v>
      </c>
      <c r="H2" s="204" t="s">
        <v>26</v>
      </c>
      <c r="I2" s="204" t="s">
        <v>27</v>
      </c>
      <c r="J2" s="204" t="s">
        <v>28</v>
      </c>
      <c r="K2" s="204" t="s">
        <v>29</v>
      </c>
      <c r="L2" s="204" t="s">
        <v>30</v>
      </c>
      <c r="M2" s="204" t="s">
        <v>31</v>
      </c>
      <c r="N2" s="92" t="s">
        <v>39</v>
      </c>
      <c r="Q2" s="203" t="s">
        <v>50</v>
      </c>
      <c r="R2" s="204" t="s">
        <v>51</v>
      </c>
      <c r="S2" s="204" t="s">
        <v>52</v>
      </c>
      <c r="T2" s="92" t="s">
        <v>53</v>
      </c>
    </row>
    <row r="3" spans="1:20" ht="28.8" x14ac:dyDescent="0.3">
      <c r="A3" s="87" t="s">
        <v>41</v>
      </c>
      <c r="B3" s="64" t="s">
        <v>42</v>
      </c>
      <c r="C3" s="85" t="s">
        <v>34</v>
      </c>
      <c r="D3" s="64"/>
      <c r="E3" s="64"/>
      <c r="F3" s="85" t="s">
        <v>34</v>
      </c>
      <c r="G3" s="217">
        <v>5</v>
      </c>
      <c r="H3" s="217">
        <v>10</v>
      </c>
      <c r="I3" s="217">
        <v>115</v>
      </c>
      <c r="J3" s="217">
        <v>115</v>
      </c>
      <c r="K3" s="217">
        <v>2</v>
      </c>
      <c r="L3" s="217"/>
      <c r="M3" s="217" t="b">
        <v>1</v>
      </c>
      <c r="N3" s="218" t="s">
        <v>60</v>
      </c>
      <c r="Q3" s="87" t="s">
        <v>58</v>
      </c>
      <c r="R3" s="64" t="s">
        <v>44</v>
      </c>
      <c r="S3" s="85" t="s">
        <v>54</v>
      </c>
      <c r="T3" s="88" t="s">
        <v>36</v>
      </c>
    </row>
    <row r="4" spans="1:20" ht="28.8" x14ac:dyDescent="0.3">
      <c r="A4" s="87" t="s">
        <v>41</v>
      </c>
      <c r="B4" s="64" t="s">
        <v>42</v>
      </c>
      <c r="C4" s="85" t="s">
        <v>34</v>
      </c>
      <c r="D4" s="64"/>
      <c r="E4" s="64"/>
      <c r="F4" s="85" t="s">
        <v>34</v>
      </c>
      <c r="G4" s="217">
        <v>5</v>
      </c>
      <c r="H4" s="217">
        <v>10</v>
      </c>
      <c r="I4" s="217">
        <v>115</v>
      </c>
      <c r="J4" s="217">
        <v>115</v>
      </c>
      <c r="K4" s="217">
        <v>2</v>
      </c>
      <c r="L4" s="217"/>
      <c r="M4" s="217" t="b">
        <v>1</v>
      </c>
      <c r="N4" s="218" t="s">
        <v>60</v>
      </c>
      <c r="Q4" s="87" t="s">
        <v>58</v>
      </c>
      <c r="R4" s="64" t="s">
        <v>44</v>
      </c>
      <c r="S4" s="85" t="s">
        <v>54</v>
      </c>
      <c r="T4" s="88" t="s">
        <v>36</v>
      </c>
    </row>
    <row r="5" spans="1:20" ht="28.8" x14ac:dyDescent="0.3">
      <c r="A5" s="87" t="s">
        <v>41</v>
      </c>
      <c r="B5" s="64" t="s">
        <v>42</v>
      </c>
      <c r="C5" s="85" t="s">
        <v>35</v>
      </c>
      <c r="D5" s="64"/>
      <c r="E5" s="64"/>
      <c r="F5" s="85" t="s">
        <v>36</v>
      </c>
      <c r="G5" s="217">
        <v>5</v>
      </c>
      <c r="H5" s="217">
        <v>125</v>
      </c>
      <c r="I5" s="217">
        <v>425</v>
      </c>
      <c r="J5" s="217">
        <v>115</v>
      </c>
      <c r="K5" s="217">
        <v>6</v>
      </c>
      <c r="L5" s="217"/>
      <c r="M5" s="217" t="b">
        <v>1</v>
      </c>
      <c r="N5" s="218" t="s">
        <v>60</v>
      </c>
      <c r="Q5" s="87" t="s">
        <v>32</v>
      </c>
      <c r="R5" s="64" t="s">
        <v>33</v>
      </c>
      <c r="S5" s="85" t="s">
        <v>54</v>
      </c>
      <c r="T5" s="88" t="s">
        <v>36</v>
      </c>
    </row>
    <row r="6" spans="1:20" ht="28.8" x14ac:dyDescent="0.3">
      <c r="A6" s="209" t="s">
        <v>56</v>
      </c>
      <c r="B6" s="210" t="s">
        <v>57</v>
      </c>
      <c r="C6" s="211" t="s">
        <v>34</v>
      </c>
      <c r="D6" s="210"/>
      <c r="E6" s="210"/>
      <c r="F6" s="211" t="s">
        <v>34</v>
      </c>
      <c r="G6" s="219">
        <v>5</v>
      </c>
      <c r="H6" s="219">
        <v>10</v>
      </c>
      <c r="I6" s="219">
        <v>115</v>
      </c>
      <c r="J6" s="219">
        <v>115</v>
      </c>
      <c r="K6" s="219">
        <v>2</v>
      </c>
      <c r="L6" s="219"/>
      <c r="M6" s="219" t="b">
        <v>1</v>
      </c>
      <c r="N6" s="220" t="s">
        <v>60</v>
      </c>
      <c r="Q6" s="205" t="s">
        <v>37</v>
      </c>
      <c r="R6" s="206" t="s">
        <v>38</v>
      </c>
      <c r="S6" s="207" t="s">
        <v>54</v>
      </c>
      <c r="T6" s="208" t="s">
        <v>36</v>
      </c>
    </row>
    <row r="7" spans="1:20" ht="28.8" x14ac:dyDescent="0.3">
      <c r="A7" s="209" t="s">
        <v>56</v>
      </c>
      <c r="B7" s="210" t="s">
        <v>57</v>
      </c>
      <c r="C7" s="211" t="s">
        <v>35</v>
      </c>
      <c r="D7" s="210"/>
      <c r="E7" s="210"/>
      <c r="F7" s="211" t="s">
        <v>36</v>
      </c>
      <c r="G7" s="219">
        <v>5</v>
      </c>
      <c r="H7" s="219">
        <v>125</v>
      </c>
      <c r="I7" s="219">
        <v>425</v>
      </c>
      <c r="J7" s="219">
        <v>115</v>
      </c>
      <c r="K7" s="219">
        <v>6</v>
      </c>
      <c r="L7" s="219"/>
      <c r="M7" s="219" t="b">
        <v>1</v>
      </c>
      <c r="N7" s="220" t="s">
        <v>60</v>
      </c>
      <c r="Q7" s="205" t="s">
        <v>59</v>
      </c>
      <c r="R7" s="206" t="s">
        <v>49</v>
      </c>
      <c r="S7" s="207" t="s">
        <v>54</v>
      </c>
      <c r="T7" s="208" t="s">
        <v>36</v>
      </c>
    </row>
    <row r="8" spans="1:20" ht="28.8" x14ac:dyDescent="0.3">
      <c r="A8" s="205" t="s">
        <v>43</v>
      </c>
      <c r="B8" s="206" t="s">
        <v>44</v>
      </c>
      <c r="C8" s="207" t="s">
        <v>34</v>
      </c>
      <c r="D8" s="206"/>
      <c r="E8" s="206"/>
      <c r="F8" s="207" t="s">
        <v>34</v>
      </c>
      <c r="G8" s="221">
        <v>5</v>
      </c>
      <c r="H8" s="221">
        <v>7</v>
      </c>
      <c r="I8" s="221">
        <v>115</v>
      </c>
      <c r="J8" s="221">
        <v>115</v>
      </c>
      <c r="K8" s="221">
        <v>2</v>
      </c>
      <c r="L8" s="221"/>
      <c r="M8" s="221" t="b">
        <v>1</v>
      </c>
      <c r="N8" s="222" t="s">
        <v>561</v>
      </c>
      <c r="Q8" s="87" t="s">
        <v>41</v>
      </c>
      <c r="R8" s="64" t="s">
        <v>42</v>
      </c>
      <c r="S8" s="85" t="s">
        <v>54</v>
      </c>
      <c r="T8" s="88" t="s">
        <v>36</v>
      </c>
    </row>
    <row r="9" spans="1:20" ht="28.8" x14ac:dyDescent="0.3">
      <c r="A9" s="205" t="s">
        <v>43</v>
      </c>
      <c r="B9" s="206" t="s">
        <v>44</v>
      </c>
      <c r="C9" s="207" t="s">
        <v>35</v>
      </c>
      <c r="D9" s="206"/>
      <c r="E9" s="206"/>
      <c r="F9" s="207" t="s">
        <v>36</v>
      </c>
      <c r="G9" s="221">
        <v>5</v>
      </c>
      <c r="H9" s="221">
        <v>930</v>
      </c>
      <c r="I9" s="221">
        <v>425</v>
      </c>
      <c r="J9" s="221">
        <v>115</v>
      </c>
      <c r="K9" s="221">
        <v>6</v>
      </c>
      <c r="L9" s="221"/>
      <c r="M9" s="221" t="b">
        <v>0</v>
      </c>
      <c r="N9" s="222" t="s">
        <v>561</v>
      </c>
      <c r="Q9" s="87" t="s">
        <v>56</v>
      </c>
      <c r="R9" s="64" t="s">
        <v>57</v>
      </c>
      <c r="S9" s="85" t="s">
        <v>54</v>
      </c>
      <c r="T9" s="88" t="s">
        <v>36</v>
      </c>
    </row>
    <row r="10" spans="1:20" ht="28.8" x14ac:dyDescent="0.3">
      <c r="A10" s="205" t="s">
        <v>43</v>
      </c>
      <c r="B10" s="206" t="s">
        <v>44</v>
      </c>
      <c r="C10" s="207" t="s">
        <v>45</v>
      </c>
      <c r="D10" s="206"/>
      <c r="E10" s="206"/>
      <c r="F10" s="207" t="s">
        <v>46</v>
      </c>
      <c r="G10" s="221">
        <v>125</v>
      </c>
      <c r="H10" s="221">
        <v>930</v>
      </c>
      <c r="I10" s="221">
        <v>350</v>
      </c>
      <c r="J10" s="221">
        <v>150</v>
      </c>
      <c r="K10" s="221">
        <v>7</v>
      </c>
      <c r="L10" s="221"/>
      <c r="M10" s="221" t="b">
        <v>0</v>
      </c>
      <c r="N10" s="222" t="s">
        <v>561</v>
      </c>
      <c r="Q10" s="205" t="s">
        <v>43</v>
      </c>
      <c r="R10" s="206" t="s">
        <v>44</v>
      </c>
      <c r="S10" s="207" t="s">
        <v>54</v>
      </c>
      <c r="T10" s="208" t="s">
        <v>36</v>
      </c>
    </row>
    <row r="11" spans="1:20" ht="28.8" x14ac:dyDescent="0.3">
      <c r="A11" s="87" t="s">
        <v>47</v>
      </c>
      <c r="B11" s="64" t="s">
        <v>33</v>
      </c>
      <c r="C11" s="85" t="s">
        <v>34</v>
      </c>
      <c r="D11" s="64"/>
      <c r="E11" s="64"/>
      <c r="F11" s="85" t="s">
        <v>34</v>
      </c>
      <c r="G11" s="217">
        <v>5</v>
      </c>
      <c r="H11" s="217">
        <v>7</v>
      </c>
      <c r="I11" s="217">
        <v>115</v>
      </c>
      <c r="J11" s="217">
        <v>115</v>
      </c>
      <c r="K11" s="217">
        <v>2</v>
      </c>
      <c r="L11" s="217"/>
      <c r="M11" s="217" t="b">
        <v>1</v>
      </c>
      <c r="N11" s="218" t="s">
        <v>561</v>
      </c>
      <c r="Q11" s="87" t="s">
        <v>47</v>
      </c>
      <c r="R11" s="64" t="s">
        <v>33</v>
      </c>
      <c r="S11" s="85" t="s">
        <v>54</v>
      </c>
      <c r="T11" s="88" t="s">
        <v>36</v>
      </c>
    </row>
    <row r="12" spans="1:20" ht="28.8" x14ac:dyDescent="0.3">
      <c r="A12" s="87" t="s">
        <v>47</v>
      </c>
      <c r="B12" s="64" t="s">
        <v>33</v>
      </c>
      <c r="C12" s="85" t="s">
        <v>35</v>
      </c>
      <c r="D12" s="64"/>
      <c r="E12" s="64"/>
      <c r="F12" s="85" t="s">
        <v>36</v>
      </c>
      <c r="G12" s="217">
        <v>5</v>
      </c>
      <c r="H12" s="217">
        <v>930</v>
      </c>
      <c r="I12" s="217">
        <v>425</v>
      </c>
      <c r="J12" s="217">
        <v>115</v>
      </c>
      <c r="K12" s="217">
        <v>6</v>
      </c>
      <c r="L12" s="217"/>
      <c r="M12" s="217" t="b">
        <v>0</v>
      </c>
      <c r="N12" s="218" t="s">
        <v>561</v>
      </c>
      <c r="Q12" s="205" t="s">
        <v>48</v>
      </c>
      <c r="R12" s="206" t="s">
        <v>49</v>
      </c>
      <c r="S12" s="207" t="s">
        <v>54</v>
      </c>
      <c r="T12" s="208" t="s">
        <v>34</v>
      </c>
    </row>
    <row r="13" spans="1:20" ht="28.8" x14ac:dyDescent="0.3">
      <c r="A13" s="87" t="s">
        <v>47</v>
      </c>
      <c r="B13" s="64" t="s">
        <v>33</v>
      </c>
      <c r="C13" s="85" t="s">
        <v>45</v>
      </c>
      <c r="D13" s="64"/>
      <c r="E13" s="64"/>
      <c r="F13" s="85" t="s">
        <v>46</v>
      </c>
      <c r="G13" s="217">
        <v>125</v>
      </c>
      <c r="H13" s="217">
        <v>930</v>
      </c>
      <c r="I13" s="217">
        <v>350</v>
      </c>
      <c r="J13" s="217">
        <v>150</v>
      </c>
      <c r="K13" s="217">
        <v>7</v>
      </c>
      <c r="L13" s="217"/>
      <c r="M13" s="217" t="b">
        <v>0</v>
      </c>
      <c r="N13" s="218" t="s">
        <v>561</v>
      </c>
      <c r="Q13" s="87" t="s">
        <v>55</v>
      </c>
      <c r="R13" s="64" t="s">
        <v>38</v>
      </c>
      <c r="S13" s="85" t="s">
        <v>54</v>
      </c>
      <c r="T13" s="88" t="s">
        <v>34</v>
      </c>
    </row>
    <row r="14" spans="1:20" ht="28.8" x14ac:dyDescent="0.3">
      <c r="A14" s="205" t="s">
        <v>48</v>
      </c>
      <c r="B14" s="206" t="s">
        <v>49</v>
      </c>
      <c r="C14" s="207" t="s">
        <v>34</v>
      </c>
      <c r="D14" s="206"/>
      <c r="E14" s="206"/>
      <c r="F14" s="207" t="s">
        <v>34</v>
      </c>
      <c r="G14" s="221">
        <v>5</v>
      </c>
      <c r="H14" s="221">
        <v>10</v>
      </c>
      <c r="I14" s="221">
        <v>115</v>
      </c>
      <c r="J14" s="221">
        <f>115*87%</f>
        <v>100.05</v>
      </c>
      <c r="K14" s="221">
        <v>2</v>
      </c>
      <c r="L14" s="221"/>
      <c r="M14" s="221" t="b">
        <v>1</v>
      </c>
      <c r="N14" s="222" t="s">
        <v>562</v>
      </c>
      <c r="Q14" s="205" t="s">
        <v>120</v>
      </c>
      <c r="R14" s="206" t="s">
        <v>121</v>
      </c>
      <c r="S14" s="85" t="s">
        <v>54</v>
      </c>
      <c r="T14" s="88" t="s">
        <v>34</v>
      </c>
    </row>
    <row r="15" spans="1:20" ht="28.8" x14ac:dyDescent="0.3">
      <c r="A15" s="205" t="s">
        <v>48</v>
      </c>
      <c r="B15" s="206" t="s">
        <v>49</v>
      </c>
      <c r="C15" s="207" t="s">
        <v>35</v>
      </c>
      <c r="D15" s="206"/>
      <c r="E15" s="206"/>
      <c r="F15" s="207" t="s">
        <v>36</v>
      </c>
      <c r="G15" s="221">
        <v>110</v>
      </c>
      <c r="H15" s="221">
        <v>10</v>
      </c>
      <c r="I15" s="221">
        <v>400</v>
      </c>
      <c r="J15" s="221">
        <v>115</v>
      </c>
      <c r="K15" s="221">
        <v>6</v>
      </c>
      <c r="L15" s="221"/>
      <c r="M15" s="221" t="b">
        <v>1</v>
      </c>
      <c r="N15" s="222" t="s">
        <v>563</v>
      </c>
      <c r="Q15" s="209" t="s">
        <v>178</v>
      </c>
      <c r="R15" s="210" t="s">
        <v>179</v>
      </c>
      <c r="S15" s="211" t="s">
        <v>54</v>
      </c>
      <c r="T15" s="212" t="s">
        <v>34</v>
      </c>
    </row>
    <row r="16" spans="1:20" ht="28.8" x14ac:dyDescent="0.3">
      <c r="A16" s="205" t="s">
        <v>48</v>
      </c>
      <c r="B16" s="206" t="s">
        <v>49</v>
      </c>
      <c r="C16" s="207" t="s">
        <v>45</v>
      </c>
      <c r="D16" s="206"/>
      <c r="E16" s="206"/>
      <c r="F16" s="207" t="s">
        <v>46</v>
      </c>
      <c r="G16" s="221">
        <v>5</v>
      </c>
      <c r="H16" s="221">
        <v>810</v>
      </c>
      <c r="I16" s="221">
        <v>350</v>
      </c>
      <c r="J16" s="221">
        <f>150*90%</f>
        <v>135</v>
      </c>
      <c r="K16" s="221">
        <v>7</v>
      </c>
      <c r="L16" s="221"/>
      <c r="M16" s="221" t="b">
        <v>0</v>
      </c>
      <c r="N16" s="222" t="s">
        <v>563</v>
      </c>
      <c r="Q16" s="209" t="s">
        <v>182</v>
      </c>
      <c r="R16" s="210" t="s">
        <v>183</v>
      </c>
      <c r="S16" s="211" t="s">
        <v>54</v>
      </c>
      <c r="T16" s="212" t="s">
        <v>34</v>
      </c>
    </row>
    <row r="17" spans="1:20" ht="28.8" x14ac:dyDescent="0.3">
      <c r="A17" s="87" t="s">
        <v>55</v>
      </c>
      <c r="B17" s="64" t="s">
        <v>38</v>
      </c>
      <c r="C17" s="85" t="s">
        <v>34</v>
      </c>
      <c r="D17" s="64"/>
      <c r="E17" s="64"/>
      <c r="F17" s="85" t="s">
        <v>34</v>
      </c>
      <c r="G17" s="217">
        <v>5</v>
      </c>
      <c r="H17" s="217">
        <v>10</v>
      </c>
      <c r="I17" s="217">
        <v>115</v>
      </c>
      <c r="J17" s="217">
        <f>115*87%</f>
        <v>100.05</v>
      </c>
      <c r="K17" s="217">
        <v>2</v>
      </c>
      <c r="L17" s="217"/>
      <c r="M17" s="217" t="b">
        <v>1</v>
      </c>
      <c r="N17" s="218" t="s">
        <v>562</v>
      </c>
      <c r="Q17" s="205" t="s">
        <v>597</v>
      </c>
      <c r="R17" s="206" t="s">
        <v>598</v>
      </c>
      <c r="S17" s="85" t="s">
        <v>54</v>
      </c>
      <c r="T17" s="88" t="s">
        <v>34</v>
      </c>
    </row>
    <row r="18" spans="1:20" ht="28.8" x14ac:dyDescent="0.3">
      <c r="A18" s="87" t="s">
        <v>55</v>
      </c>
      <c r="B18" s="64" t="s">
        <v>38</v>
      </c>
      <c r="C18" s="85" t="s">
        <v>35</v>
      </c>
      <c r="D18" s="64"/>
      <c r="E18" s="64"/>
      <c r="F18" s="85" t="s">
        <v>36</v>
      </c>
      <c r="G18" s="217">
        <v>110</v>
      </c>
      <c r="H18" s="217">
        <v>10</v>
      </c>
      <c r="I18" s="217">
        <v>400</v>
      </c>
      <c r="J18" s="217">
        <v>115</v>
      </c>
      <c r="K18" s="217">
        <v>6</v>
      </c>
      <c r="L18" s="217"/>
      <c r="M18" s="217" t="b">
        <v>1</v>
      </c>
      <c r="N18" s="218" t="s">
        <v>562</v>
      </c>
      <c r="Q18" s="205" t="s">
        <v>138</v>
      </c>
      <c r="R18" s="206" t="s">
        <v>139</v>
      </c>
      <c r="S18" s="85" t="s">
        <v>54</v>
      </c>
      <c r="T18" s="88" t="s">
        <v>34</v>
      </c>
    </row>
    <row r="19" spans="1:20" ht="28.8" x14ac:dyDescent="0.3">
      <c r="A19" s="87" t="s">
        <v>55</v>
      </c>
      <c r="B19" s="64" t="s">
        <v>38</v>
      </c>
      <c r="C19" s="85" t="s">
        <v>45</v>
      </c>
      <c r="D19" s="64"/>
      <c r="E19" s="64"/>
      <c r="F19" s="85" t="s">
        <v>46</v>
      </c>
      <c r="G19" s="217">
        <v>5</v>
      </c>
      <c r="H19" s="217">
        <v>810</v>
      </c>
      <c r="I19" s="217">
        <v>350</v>
      </c>
      <c r="J19" s="217">
        <f>150*90%</f>
        <v>135</v>
      </c>
      <c r="K19" s="217">
        <v>7</v>
      </c>
      <c r="L19" s="217"/>
      <c r="M19" s="217" t="b">
        <v>0</v>
      </c>
      <c r="N19" s="218" t="s">
        <v>562</v>
      </c>
      <c r="Q19" s="205" t="s">
        <v>167</v>
      </c>
      <c r="R19" s="206" t="s">
        <v>168</v>
      </c>
      <c r="S19" s="85" t="s">
        <v>54</v>
      </c>
      <c r="T19" s="88" t="s">
        <v>34</v>
      </c>
    </row>
    <row r="20" spans="1:20" ht="28.8" x14ac:dyDescent="0.3">
      <c r="A20" s="205" t="s">
        <v>58</v>
      </c>
      <c r="B20" s="206" t="s">
        <v>44</v>
      </c>
      <c r="C20" s="207" t="s">
        <v>34</v>
      </c>
      <c r="D20" s="206"/>
      <c r="E20" s="206"/>
      <c r="F20" s="207" t="s">
        <v>34</v>
      </c>
      <c r="G20" s="221">
        <v>5</v>
      </c>
      <c r="H20" s="221">
        <v>7</v>
      </c>
      <c r="I20" s="221">
        <v>115</v>
      </c>
      <c r="J20" s="221">
        <v>115</v>
      </c>
      <c r="K20" s="221">
        <v>2</v>
      </c>
      <c r="L20" s="221"/>
      <c r="M20" s="221" t="b">
        <v>1</v>
      </c>
      <c r="N20" s="222" t="s">
        <v>561</v>
      </c>
      <c r="Q20" s="205" t="s">
        <v>194</v>
      </c>
      <c r="R20" s="206" t="s">
        <v>195</v>
      </c>
      <c r="S20" s="85" t="s">
        <v>54</v>
      </c>
      <c r="T20" s="88" t="s">
        <v>34</v>
      </c>
    </row>
    <row r="21" spans="1:20" ht="28.8" x14ac:dyDescent="0.3">
      <c r="A21" s="205" t="s">
        <v>58</v>
      </c>
      <c r="B21" s="206" t="s">
        <v>44</v>
      </c>
      <c r="C21" s="207" t="s">
        <v>35</v>
      </c>
      <c r="D21" s="206"/>
      <c r="E21" s="206"/>
      <c r="F21" s="207" t="s">
        <v>36</v>
      </c>
      <c r="G21" s="221">
        <v>5</v>
      </c>
      <c r="H21" s="221">
        <v>930</v>
      </c>
      <c r="I21" s="221">
        <v>425</v>
      </c>
      <c r="J21" s="221">
        <v>115</v>
      </c>
      <c r="K21" s="221">
        <v>6</v>
      </c>
      <c r="L21" s="221"/>
      <c r="M21" s="221" t="b">
        <v>0</v>
      </c>
      <c r="N21" s="222" t="s">
        <v>561</v>
      </c>
      <c r="Q21" s="209" t="s">
        <v>235</v>
      </c>
      <c r="R21" s="210" t="s">
        <v>230</v>
      </c>
      <c r="S21" s="211" t="s">
        <v>54</v>
      </c>
      <c r="T21" s="212" t="s">
        <v>34</v>
      </c>
    </row>
    <row r="22" spans="1:20" ht="28.8" x14ac:dyDescent="0.3">
      <c r="A22" s="205" t="s">
        <v>58</v>
      </c>
      <c r="B22" s="206" t="s">
        <v>44</v>
      </c>
      <c r="C22" s="207" t="s">
        <v>45</v>
      </c>
      <c r="D22" s="206"/>
      <c r="E22" s="206"/>
      <c r="F22" s="207" t="s">
        <v>46</v>
      </c>
      <c r="G22" s="221">
        <v>125</v>
      </c>
      <c r="H22" s="221">
        <v>930</v>
      </c>
      <c r="I22" s="221">
        <v>350</v>
      </c>
      <c r="J22" s="221">
        <v>150</v>
      </c>
      <c r="K22" s="221">
        <v>7</v>
      </c>
      <c r="L22" s="221"/>
      <c r="M22" s="221" t="b">
        <v>0</v>
      </c>
      <c r="N22" s="222" t="s">
        <v>561</v>
      </c>
      <c r="Q22" s="205" t="s">
        <v>211</v>
      </c>
      <c r="R22" s="206" t="s">
        <v>212</v>
      </c>
      <c r="S22" s="211" t="s">
        <v>54</v>
      </c>
      <c r="T22" s="212" t="s">
        <v>34</v>
      </c>
    </row>
    <row r="23" spans="1:20" ht="28.8" x14ac:dyDescent="0.3">
      <c r="A23" s="213" t="s">
        <v>32</v>
      </c>
      <c r="B23" s="214" t="s">
        <v>33</v>
      </c>
      <c r="C23" s="223" t="s">
        <v>34</v>
      </c>
      <c r="D23" s="214"/>
      <c r="E23" s="214"/>
      <c r="F23" s="223" t="s">
        <v>34</v>
      </c>
      <c r="G23" s="224">
        <v>5</v>
      </c>
      <c r="H23" s="224">
        <v>7</v>
      </c>
      <c r="I23" s="224">
        <v>115</v>
      </c>
      <c r="J23" s="224">
        <v>115</v>
      </c>
      <c r="K23" s="224">
        <v>2</v>
      </c>
      <c r="L23" s="224"/>
      <c r="M23" s="224" t="b">
        <v>1</v>
      </c>
      <c r="N23" s="225" t="s">
        <v>561</v>
      </c>
      <c r="Q23" s="205" t="s">
        <v>445</v>
      </c>
      <c r="R23" s="206" t="s">
        <v>446</v>
      </c>
      <c r="S23" s="211" t="s">
        <v>54</v>
      </c>
      <c r="T23" s="212" t="s">
        <v>34</v>
      </c>
    </row>
    <row r="24" spans="1:20" ht="28.8" x14ac:dyDescent="0.3">
      <c r="A24" s="213" t="s">
        <v>32</v>
      </c>
      <c r="B24" s="214" t="s">
        <v>33</v>
      </c>
      <c r="C24" s="223" t="s">
        <v>35</v>
      </c>
      <c r="D24" s="214"/>
      <c r="E24" s="214"/>
      <c r="F24" s="223" t="s">
        <v>36</v>
      </c>
      <c r="G24" s="224">
        <v>5</v>
      </c>
      <c r="H24" s="224">
        <v>930</v>
      </c>
      <c r="I24" s="224">
        <v>425</v>
      </c>
      <c r="J24" s="224">
        <v>115</v>
      </c>
      <c r="K24" s="224">
        <v>6</v>
      </c>
      <c r="L24" s="224"/>
      <c r="M24" s="224" t="b">
        <v>0</v>
      </c>
      <c r="N24" s="225" t="s">
        <v>561</v>
      </c>
      <c r="Q24" s="205" t="s">
        <v>213</v>
      </c>
      <c r="R24" s="206" t="s">
        <v>214</v>
      </c>
      <c r="S24" s="211" t="s">
        <v>54</v>
      </c>
      <c r="T24" s="212" t="s">
        <v>34</v>
      </c>
    </row>
    <row r="25" spans="1:20" ht="28.8" x14ac:dyDescent="0.3">
      <c r="A25" s="213" t="s">
        <v>32</v>
      </c>
      <c r="B25" s="214" t="s">
        <v>33</v>
      </c>
      <c r="C25" s="223" t="s">
        <v>45</v>
      </c>
      <c r="D25" s="214"/>
      <c r="E25" s="214"/>
      <c r="F25" s="223" t="s">
        <v>46</v>
      </c>
      <c r="G25" s="224">
        <v>125</v>
      </c>
      <c r="H25" s="224">
        <v>930</v>
      </c>
      <c r="I25" s="224">
        <v>350</v>
      </c>
      <c r="J25" s="224">
        <v>150</v>
      </c>
      <c r="K25" s="224">
        <v>7</v>
      </c>
      <c r="L25" s="224"/>
      <c r="M25" s="224" t="b">
        <v>0</v>
      </c>
      <c r="N25" s="225" t="s">
        <v>561</v>
      </c>
      <c r="Q25" s="205" t="s">
        <v>262</v>
      </c>
      <c r="R25" s="206" t="s">
        <v>263</v>
      </c>
      <c r="S25" s="211" t="s">
        <v>54</v>
      </c>
      <c r="T25" s="212" t="s">
        <v>34</v>
      </c>
    </row>
    <row r="26" spans="1:20" ht="28.8" x14ac:dyDescent="0.3">
      <c r="A26" s="205" t="s">
        <v>37</v>
      </c>
      <c r="B26" s="206" t="s">
        <v>38</v>
      </c>
      <c r="C26" s="207" t="s">
        <v>34</v>
      </c>
      <c r="D26" s="206"/>
      <c r="E26" s="206"/>
      <c r="F26" s="207" t="s">
        <v>34</v>
      </c>
      <c r="G26" s="221">
        <v>5</v>
      </c>
      <c r="H26" s="221">
        <v>7</v>
      </c>
      <c r="I26" s="221">
        <v>115</v>
      </c>
      <c r="J26" s="221">
        <v>115</v>
      </c>
      <c r="K26" s="221">
        <v>2</v>
      </c>
      <c r="L26" s="221"/>
      <c r="M26" s="221" t="b">
        <v>0</v>
      </c>
      <c r="N26" s="222" t="s">
        <v>40</v>
      </c>
      <c r="Q26" s="209" t="s">
        <v>236</v>
      </c>
      <c r="R26" s="210" t="s">
        <v>234</v>
      </c>
      <c r="S26" s="211" t="s">
        <v>54</v>
      </c>
      <c r="T26" s="212" t="s">
        <v>34</v>
      </c>
    </row>
    <row r="27" spans="1:20" ht="28.8" x14ac:dyDescent="0.3">
      <c r="A27" s="205" t="s">
        <v>37</v>
      </c>
      <c r="B27" s="206" t="s">
        <v>38</v>
      </c>
      <c r="C27" s="207" t="s">
        <v>35</v>
      </c>
      <c r="D27" s="206"/>
      <c r="E27" s="206"/>
      <c r="F27" s="207" t="s">
        <v>36</v>
      </c>
      <c r="G27" s="221">
        <v>5</v>
      </c>
      <c r="H27" s="221">
        <v>125</v>
      </c>
      <c r="I27" s="221">
        <v>425</v>
      </c>
      <c r="J27" s="221">
        <v>115</v>
      </c>
      <c r="K27" s="221">
        <v>6</v>
      </c>
      <c r="L27" s="221"/>
      <c r="M27" s="221" t="b">
        <v>0</v>
      </c>
      <c r="N27" s="222" t="s">
        <v>40</v>
      </c>
      <c r="Q27" s="205" t="s">
        <v>224</v>
      </c>
      <c r="R27" s="206" t="s">
        <v>225</v>
      </c>
      <c r="S27" s="85" t="s">
        <v>54</v>
      </c>
      <c r="T27" s="88" t="s">
        <v>34</v>
      </c>
    </row>
    <row r="28" spans="1:20" ht="28.8" x14ac:dyDescent="0.3">
      <c r="A28" s="213" t="s">
        <v>59</v>
      </c>
      <c r="B28" s="214" t="s">
        <v>49</v>
      </c>
      <c r="C28" s="223" t="s">
        <v>34</v>
      </c>
      <c r="D28" s="214"/>
      <c r="E28" s="214"/>
      <c r="F28" s="223" t="s">
        <v>34</v>
      </c>
      <c r="G28" s="224">
        <v>5</v>
      </c>
      <c r="H28" s="224">
        <v>7</v>
      </c>
      <c r="I28" s="224">
        <v>115</v>
      </c>
      <c r="J28" s="224">
        <v>115</v>
      </c>
      <c r="K28" s="224">
        <v>2</v>
      </c>
      <c r="L28" s="224"/>
      <c r="M28" s="224" t="b">
        <v>0</v>
      </c>
      <c r="N28" s="225" t="s">
        <v>40</v>
      </c>
      <c r="Q28" s="205" t="s">
        <v>227</v>
      </c>
      <c r="R28" s="206" t="s">
        <v>228</v>
      </c>
      <c r="S28" s="85" t="s">
        <v>54</v>
      </c>
      <c r="T28" s="88" t="s">
        <v>34</v>
      </c>
    </row>
    <row r="29" spans="1:20" ht="28.8" x14ac:dyDescent="0.3">
      <c r="A29" s="213" t="s">
        <v>59</v>
      </c>
      <c r="B29" s="214" t="s">
        <v>49</v>
      </c>
      <c r="C29" s="223" t="s">
        <v>35</v>
      </c>
      <c r="D29" s="214"/>
      <c r="E29" s="214"/>
      <c r="F29" s="223" t="s">
        <v>36</v>
      </c>
      <c r="G29" s="224">
        <v>5</v>
      </c>
      <c r="H29" s="224">
        <v>125</v>
      </c>
      <c r="I29" s="224">
        <v>425</v>
      </c>
      <c r="J29" s="224">
        <v>115</v>
      </c>
      <c r="K29" s="224">
        <v>6</v>
      </c>
      <c r="L29" s="224"/>
      <c r="M29" s="224" t="b">
        <v>0</v>
      </c>
      <c r="N29" s="225" t="s">
        <v>40</v>
      </c>
      <c r="Q29" s="213" t="s">
        <v>239</v>
      </c>
      <c r="R29" s="214" t="s">
        <v>240</v>
      </c>
      <c r="S29" s="85" t="s">
        <v>54</v>
      </c>
      <c r="T29" s="88" t="s">
        <v>34</v>
      </c>
    </row>
    <row r="30" spans="1:20" ht="28.8" x14ac:dyDescent="0.3">
      <c r="A30" s="205" t="s">
        <v>120</v>
      </c>
      <c r="B30" s="206" t="s">
        <v>121</v>
      </c>
      <c r="C30" s="207" t="s">
        <v>34</v>
      </c>
      <c r="D30" s="206"/>
      <c r="E30" s="206"/>
      <c r="F30" s="207" t="s">
        <v>34</v>
      </c>
      <c r="G30" s="221">
        <v>5</v>
      </c>
      <c r="H30" s="221">
        <v>7</v>
      </c>
      <c r="I30" s="221">
        <v>115</v>
      </c>
      <c r="J30" s="221">
        <v>115</v>
      </c>
      <c r="K30" s="221">
        <v>2</v>
      </c>
      <c r="L30" s="221" t="s">
        <v>127</v>
      </c>
      <c r="M30" s="221" t="b">
        <v>1</v>
      </c>
      <c r="N30" s="222" t="s">
        <v>561</v>
      </c>
      <c r="Q30" s="213" t="s">
        <v>449</v>
      </c>
      <c r="R30" s="214" t="s">
        <v>450</v>
      </c>
      <c r="S30" s="85" t="s">
        <v>54</v>
      </c>
      <c r="T30" s="88" t="s">
        <v>34</v>
      </c>
    </row>
    <row r="31" spans="1:20" ht="28.8" x14ac:dyDescent="0.3">
      <c r="A31" s="205" t="s">
        <v>120</v>
      </c>
      <c r="B31" s="206" t="s">
        <v>121</v>
      </c>
      <c r="C31" s="207" t="s">
        <v>128</v>
      </c>
      <c r="D31" s="206"/>
      <c r="E31" s="206"/>
      <c r="F31" s="207" t="s">
        <v>129</v>
      </c>
      <c r="G31" s="221">
        <v>5</v>
      </c>
      <c r="H31" s="221">
        <v>125</v>
      </c>
      <c r="I31" s="221">
        <f>425*0.8</f>
        <v>340</v>
      </c>
      <c r="J31" s="221">
        <v>115</v>
      </c>
      <c r="K31" s="221">
        <v>2</v>
      </c>
      <c r="L31" s="221" t="s">
        <v>127</v>
      </c>
      <c r="M31" s="221" t="b">
        <v>1</v>
      </c>
      <c r="N31" s="222" t="s">
        <v>561</v>
      </c>
      <c r="Q31" s="205" t="s">
        <v>274</v>
      </c>
      <c r="R31" s="206" t="s">
        <v>275</v>
      </c>
      <c r="S31" s="85" t="s">
        <v>54</v>
      </c>
      <c r="T31" s="88" t="s">
        <v>34</v>
      </c>
    </row>
    <row r="32" spans="1:20" ht="28.8" x14ac:dyDescent="0.3">
      <c r="A32" s="205" t="s">
        <v>120</v>
      </c>
      <c r="B32" s="206" t="s">
        <v>121</v>
      </c>
      <c r="C32" s="207" t="s">
        <v>35</v>
      </c>
      <c r="D32" s="206"/>
      <c r="E32" s="206"/>
      <c r="F32" s="207" t="s">
        <v>36</v>
      </c>
      <c r="G32" s="221">
        <v>5</v>
      </c>
      <c r="H32" s="221">
        <f>H31+I31+2.5</f>
        <v>467.5</v>
      </c>
      <c r="I32" s="221">
        <f>425*0.8</f>
        <v>340</v>
      </c>
      <c r="J32" s="221">
        <v>115</v>
      </c>
      <c r="K32" s="221">
        <v>6</v>
      </c>
      <c r="L32" s="221" t="s">
        <v>127</v>
      </c>
      <c r="M32" s="221" t="b">
        <v>1</v>
      </c>
      <c r="N32" s="222" t="s">
        <v>561</v>
      </c>
      <c r="Q32" s="205" t="s">
        <v>433</v>
      </c>
      <c r="R32" s="206" t="s">
        <v>434</v>
      </c>
      <c r="S32" s="85" t="s">
        <v>54</v>
      </c>
      <c r="T32" s="88" t="s">
        <v>34</v>
      </c>
    </row>
    <row r="33" spans="1:20" ht="28.8" x14ac:dyDescent="0.3">
      <c r="A33" s="205" t="s">
        <v>120</v>
      </c>
      <c r="B33" s="206" t="s">
        <v>121</v>
      </c>
      <c r="C33" s="207" t="s">
        <v>122</v>
      </c>
      <c r="D33" s="206"/>
      <c r="E33" s="206"/>
      <c r="F33" s="207" t="s">
        <v>122</v>
      </c>
      <c r="G33" s="221">
        <v>5</v>
      </c>
      <c r="H33" s="221">
        <f>H32+I32+2.5</f>
        <v>810</v>
      </c>
      <c r="I33" s="221">
        <v>210</v>
      </c>
      <c r="J33" s="221">
        <v>115</v>
      </c>
      <c r="K33" s="221">
        <v>1</v>
      </c>
      <c r="L33" s="221" t="s">
        <v>127</v>
      </c>
      <c r="M33" s="221" t="b">
        <v>0</v>
      </c>
      <c r="N33" s="222" t="s">
        <v>561</v>
      </c>
      <c r="Q33" s="205" t="s">
        <v>435</v>
      </c>
      <c r="R33" s="206" t="s">
        <v>302</v>
      </c>
      <c r="S33" s="85" t="s">
        <v>54</v>
      </c>
      <c r="T33" s="88" t="s">
        <v>34</v>
      </c>
    </row>
    <row r="34" spans="1:20" ht="28.8" x14ac:dyDescent="0.3">
      <c r="A34" s="205" t="s">
        <v>120</v>
      </c>
      <c r="B34" s="206" t="s">
        <v>121</v>
      </c>
      <c r="C34" s="207" t="s">
        <v>123</v>
      </c>
      <c r="D34" s="206"/>
      <c r="E34" s="206"/>
      <c r="F34" s="207" t="s">
        <v>123</v>
      </c>
      <c r="G34" s="221">
        <v>5</v>
      </c>
      <c r="H34" s="221">
        <f>H33+I33+2.5</f>
        <v>1022.5</v>
      </c>
      <c r="I34" s="221">
        <v>210</v>
      </c>
      <c r="J34" s="221">
        <v>115</v>
      </c>
      <c r="K34" s="221">
        <v>1</v>
      </c>
      <c r="L34" s="221" t="s">
        <v>127</v>
      </c>
      <c r="M34" s="221" t="b">
        <v>0</v>
      </c>
      <c r="N34" s="222" t="s">
        <v>561</v>
      </c>
      <c r="Q34" s="205" t="s">
        <v>314</v>
      </c>
      <c r="R34" s="206" t="s">
        <v>309</v>
      </c>
      <c r="S34" s="85" t="s">
        <v>54</v>
      </c>
      <c r="T34" s="88" t="s">
        <v>34</v>
      </c>
    </row>
    <row r="35" spans="1:20" ht="28.8" x14ac:dyDescent="0.3">
      <c r="A35" s="213" t="s">
        <v>597</v>
      </c>
      <c r="B35" s="214" t="s">
        <v>598</v>
      </c>
      <c r="C35" s="223" t="s">
        <v>34</v>
      </c>
      <c r="D35" s="214"/>
      <c r="E35" s="214"/>
      <c r="F35" s="223" t="s">
        <v>34</v>
      </c>
      <c r="G35" s="224">
        <v>5</v>
      </c>
      <c r="H35" s="224">
        <v>7</v>
      </c>
      <c r="I35" s="224">
        <v>115</v>
      </c>
      <c r="J35" s="224">
        <v>115</v>
      </c>
      <c r="K35" s="224">
        <v>2</v>
      </c>
      <c r="L35" s="224" t="s">
        <v>127</v>
      </c>
      <c r="M35" s="224" t="b">
        <v>1</v>
      </c>
      <c r="N35" s="225" t="s">
        <v>561</v>
      </c>
      <c r="Q35" s="205" t="s">
        <v>322</v>
      </c>
      <c r="R35" s="206" t="s">
        <v>323</v>
      </c>
      <c r="S35" s="85" t="s">
        <v>54</v>
      </c>
      <c r="T35" s="88" t="s">
        <v>34</v>
      </c>
    </row>
    <row r="36" spans="1:20" ht="28.8" x14ac:dyDescent="0.3">
      <c r="A36" s="213" t="s">
        <v>597</v>
      </c>
      <c r="B36" s="214" t="s">
        <v>598</v>
      </c>
      <c r="C36" s="223" t="s">
        <v>128</v>
      </c>
      <c r="D36" s="214"/>
      <c r="E36" s="214"/>
      <c r="F36" s="223" t="s">
        <v>129</v>
      </c>
      <c r="G36" s="224">
        <v>5</v>
      </c>
      <c r="H36" s="224">
        <v>125</v>
      </c>
      <c r="I36" s="224">
        <f>425*0.8</f>
        <v>340</v>
      </c>
      <c r="J36" s="224">
        <v>115</v>
      </c>
      <c r="K36" s="224">
        <v>2</v>
      </c>
      <c r="L36" s="224" t="s">
        <v>127</v>
      </c>
      <c r="M36" s="224" t="b">
        <v>1</v>
      </c>
      <c r="N36" s="225" t="s">
        <v>561</v>
      </c>
      <c r="Q36" s="205" t="s">
        <v>420</v>
      </c>
      <c r="R36" s="206" t="s">
        <v>421</v>
      </c>
      <c r="S36" s="85" t="s">
        <v>54</v>
      </c>
      <c r="T36" s="88" t="s">
        <v>34</v>
      </c>
    </row>
    <row r="37" spans="1:20" ht="28.8" x14ac:dyDescent="0.3">
      <c r="A37" s="213" t="s">
        <v>597</v>
      </c>
      <c r="B37" s="214" t="s">
        <v>598</v>
      </c>
      <c r="C37" s="223" t="s">
        <v>342</v>
      </c>
      <c r="D37" s="214"/>
      <c r="E37" s="214"/>
      <c r="F37" s="223" t="s">
        <v>342</v>
      </c>
      <c r="G37" s="224">
        <v>5</v>
      </c>
      <c r="H37" s="224">
        <f>H36+I36+2.5</f>
        <v>467.5</v>
      </c>
      <c r="I37" s="224">
        <v>135</v>
      </c>
      <c r="J37" s="224">
        <v>115</v>
      </c>
      <c r="K37" s="224">
        <v>1</v>
      </c>
      <c r="L37" s="224" t="s">
        <v>127</v>
      </c>
      <c r="M37" s="224" t="b">
        <v>1</v>
      </c>
      <c r="N37" s="225" t="s">
        <v>562</v>
      </c>
      <c r="Q37" s="205" t="s">
        <v>331</v>
      </c>
      <c r="R37" s="206" t="s">
        <v>332</v>
      </c>
      <c r="S37" s="85" t="s">
        <v>54</v>
      </c>
      <c r="T37" s="88" t="s">
        <v>34</v>
      </c>
    </row>
    <row r="38" spans="1:20" ht="28.8" x14ac:dyDescent="0.3">
      <c r="A38" s="213" t="s">
        <v>597</v>
      </c>
      <c r="B38" s="214" t="s">
        <v>598</v>
      </c>
      <c r="C38" s="223" t="s">
        <v>35</v>
      </c>
      <c r="D38" s="214"/>
      <c r="E38" s="214"/>
      <c r="F38" s="223" t="s">
        <v>36</v>
      </c>
      <c r="G38" s="224">
        <v>5</v>
      </c>
      <c r="H38" s="224">
        <f>H37+I37+2.5</f>
        <v>605</v>
      </c>
      <c r="I38" s="224">
        <f>425*0.8</f>
        <v>340</v>
      </c>
      <c r="J38" s="224">
        <v>115</v>
      </c>
      <c r="K38" s="224">
        <v>6</v>
      </c>
      <c r="L38" s="224" t="s">
        <v>127</v>
      </c>
      <c r="M38" s="224" t="b">
        <v>0</v>
      </c>
      <c r="N38" s="225" t="s">
        <v>561</v>
      </c>
      <c r="Q38" s="205" t="s">
        <v>351</v>
      </c>
      <c r="R38" s="206" t="s">
        <v>352</v>
      </c>
      <c r="S38" s="85" t="s">
        <v>54</v>
      </c>
      <c r="T38" s="88" t="s">
        <v>34</v>
      </c>
    </row>
    <row r="39" spans="1:20" ht="28.8" x14ac:dyDescent="0.3">
      <c r="A39" s="213" t="s">
        <v>597</v>
      </c>
      <c r="B39" s="214" t="s">
        <v>598</v>
      </c>
      <c r="C39" s="223" t="s">
        <v>109</v>
      </c>
      <c r="D39" s="214"/>
      <c r="E39" s="214"/>
      <c r="F39" s="223" t="s">
        <v>123</v>
      </c>
      <c r="G39" s="224">
        <v>5</v>
      </c>
      <c r="H39" s="224">
        <f>H38+I38+2.5</f>
        <v>947.5</v>
      </c>
      <c r="I39" s="224">
        <v>210</v>
      </c>
      <c r="J39" s="224">
        <v>115</v>
      </c>
      <c r="K39" s="224">
        <v>1</v>
      </c>
      <c r="L39" s="224" t="s">
        <v>127</v>
      </c>
      <c r="M39" s="224" t="b">
        <v>0</v>
      </c>
      <c r="N39" s="225" t="s">
        <v>561</v>
      </c>
      <c r="Q39" s="205" t="s">
        <v>398</v>
      </c>
      <c r="R39" s="206" t="s">
        <v>399</v>
      </c>
      <c r="S39" s="85" t="s">
        <v>54</v>
      </c>
      <c r="T39" s="88" t="s">
        <v>34</v>
      </c>
    </row>
    <row r="40" spans="1:20" ht="28.8" x14ac:dyDescent="0.3">
      <c r="A40" s="209" t="s">
        <v>178</v>
      </c>
      <c r="B40" s="210" t="s">
        <v>179</v>
      </c>
      <c r="C40" s="211" t="s">
        <v>34</v>
      </c>
      <c r="D40" s="210"/>
      <c r="E40" s="210"/>
      <c r="F40" s="211" t="s">
        <v>34</v>
      </c>
      <c r="G40" s="219">
        <v>5</v>
      </c>
      <c r="H40" s="219">
        <v>7</v>
      </c>
      <c r="I40" s="219">
        <v>115</v>
      </c>
      <c r="J40" s="219">
        <v>115</v>
      </c>
      <c r="K40" s="219">
        <v>2</v>
      </c>
      <c r="L40" s="219" t="s">
        <v>127</v>
      </c>
      <c r="M40" s="219" t="b">
        <v>1</v>
      </c>
      <c r="N40" s="220" t="s">
        <v>561</v>
      </c>
      <c r="Q40" s="205" t="s">
        <v>416</v>
      </c>
      <c r="R40" s="206" t="s">
        <v>417</v>
      </c>
      <c r="S40" s="85" t="s">
        <v>54</v>
      </c>
      <c r="T40" s="88" t="s">
        <v>34</v>
      </c>
    </row>
    <row r="41" spans="1:20" ht="28.8" x14ac:dyDescent="0.3">
      <c r="A41" s="209" t="s">
        <v>178</v>
      </c>
      <c r="B41" s="210" t="s">
        <v>179</v>
      </c>
      <c r="C41" s="211" t="s">
        <v>128</v>
      </c>
      <c r="D41" s="210"/>
      <c r="E41" s="210"/>
      <c r="F41" s="211" t="s">
        <v>129</v>
      </c>
      <c r="G41" s="219">
        <v>5</v>
      </c>
      <c r="H41" s="219">
        <v>125</v>
      </c>
      <c r="I41" s="219">
        <f>425*0.8</f>
        <v>340</v>
      </c>
      <c r="J41" s="219">
        <v>115</v>
      </c>
      <c r="K41" s="219">
        <v>3</v>
      </c>
      <c r="L41" s="219" t="s">
        <v>127</v>
      </c>
      <c r="M41" s="219" t="b">
        <v>1</v>
      </c>
      <c r="N41" s="220" t="s">
        <v>561</v>
      </c>
      <c r="Q41" s="205" t="s">
        <v>497</v>
      </c>
      <c r="R41" s="206" t="s">
        <v>498</v>
      </c>
      <c r="S41" s="85" t="s">
        <v>54</v>
      </c>
      <c r="T41" s="88" t="s">
        <v>34</v>
      </c>
    </row>
    <row r="42" spans="1:20" x14ac:dyDescent="0.3">
      <c r="A42" s="209" t="s">
        <v>178</v>
      </c>
      <c r="B42" s="210" t="s">
        <v>179</v>
      </c>
      <c r="C42" s="211" t="s">
        <v>35</v>
      </c>
      <c r="D42" s="210"/>
      <c r="E42" s="210"/>
      <c r="F42" s="211" t="s">
        <v>36</v>
      </c>
      <c r="G42" s="219">
        <v>5</v>
      </c>
      <c r="H42" s="219">
        <f>H41+I41+2.5</f>
        <v>467.5</v>
      </c>
      <c r="I42" s="219">
        <f>425*0.8</f>
        <v>340</v>
      </c>
      <c r="J42" s="219">
        <v>115</v>
      </c>
      <c r="K42" s="219">
        <v>6</v>
      </c>
      <c r="L42" s="219" t="s">
        <v>127</v>
      </c>
      <c r="M42" s="219" t="b">
        <v>1</v>
      </c>
      <c r="N42" s="220" t="s">
        <v>561</v>
      </c>
      <c r="Q42" s="205" t="s">
        <v>499</v>
      </c>
      <c r="R42" s="206" t="s">
        <v>500</v>
      </c>
      <c r="S42" s="85" t="s">
        <v>54</v>
      </c>
      <c r="T42" s="88" t="s">
        <v>34</v>
      </c>
    </row>
    <row r="43" spans="1:20" ht="28.8" x14ac:dyDescent="0.3">
      <c r="A43" s="226" t="s">
        <v>182</v>
      </c>
      <c r="B43" s="227" t="s">
        <v>183</v>
      </c>
      <c r="C43" s="228" t="s">
        <v>34</v>
      </c>
      <c r="D43" s="227"/>
      <c r="E43" s="227"/>
      <c r="F43" s="228" t="s">
        <v>34</v>
      </c>
      <c r="G43" s="229">
        <v>5</v>
      </c>
      <c r="H43" s="229">
        <v>7</v>
      </c>
      <c r="I43" s="229">
        <v>115</v>
      </c>
      <c r="J43" s="229">
        <v>115</v>
      </c>
      <c r="K43" s="229">
        <v>2</v>
      </c>
      <c r="L43" s="229" t="s">
        <v>127</v>
      </c>
      <c r="M43" s="229" t="b">
        <v>1</v>
      </c>
      <c r="N43" s="230" t="s">
        <v>561</v>
      </c>
      <c r="Q43" s="205" t="s">
        <v>519</v>
      </c>
      <c r="R43" s="206" t="s">
        <v>520</v>
      </c>
      <c r="S43" s="85" t="s">
        <v>54</v>
      </c>
      <c r="T43" s="88" t="s">
        <v>34</v>
      </c>
    </row>
    <row r="44" spans="1:20" ht="28.8" x14ac:dyDescent="0.3">
      <c r="A44" s="226" t="s">
        <v>182</v>
      </c>
      <c r="B44" s="227" t="s">
        <v>183</v>
      </c>
      <c r="C44" s="228" t="s">
        <v>128</v>
      </c>
      <c r="D44" s="227"/>
      <c r="E44" s="227"/>
      <c r="F44" s="228" t="s">
        <v>129</v>
      </c>
      <c r="G44" s="229">
        <v>5</v>
      </c>
      <c r="H44" s="229">
        <v>125</v>
      </c>
      <c r="I44" s="229">
        <f>425*0.8</f>
        <v>340</v>
      </c>
      <c r="J44" s="229">
        <v>115</v>
      </c>
      <c r="K44" s="229">
        <v>3</v>
      </c>
      <c r="L44" s="229" t="s">
        <v>127</v>
      </c>
      <c r="M44" s="229" t="b">
        <v>1</v>
      </c>
      <c r="N44" s="230" t="s">
        <v>561</v>
      </c>
      <c r="Q44" s="205" t="s">
        <v>522</v>
      </c>
      <c r="R44" s="206" t="s">
        <v>523</v>
      </c>
      <c r="S44" s="85" t="s">
        <v>54</v>
      </c>
      <c r="T44" s="88" t="s">
        <v>34</v>
      </c>
    </row>
    <row r="45" spans="1:20" ht="28.8" x14ac:dyDescent="0.3">
      <c r="A45" s="226" t="s">
        <v>182</v>
      </c>
      <c r="B45" s="227" t="s">
        <v>183</v>
      </c>
      <c r="C45" s="228" t="s">
        <v>35</v>
      </c>
      <c r="D45" s="227"/>
      <c r="E45" s="227"/>
      <c r="F45" s="228" t="s">
        <v>36</v>
      </c>
      <c r="G45" s="229">
        <v>5</v>
      </c>
      <c r="H45" s="229">
        <f>H44+I44+2.5</f>
        <v>467.5</v>
      </c>
      <c r="I45" s="229">
        <f>425*0.8</f>
        <v>340</v>
      </c>
      <c r="J45" s="229">
        <v>115</v>
      </c>
      <c r="K45" s="229">
        <v>6</v>
      </c>
      <c r="L45" s="229" t="s">
        <v>127</v>
      </c>
      <c r="M45" s="229" t="b">
        <v>1</v>
      </c>
      <c r="N45" s="230" t="s">
        <v>561</v>
      </c>
      <c r="Q45" s="205" t="s">
        <v>549</v>
      </c>
      <c r="R45" s="206" t="s">
        <v>550</v>
      </c>
      <c r="S45" s="85" t="s">
        <v>54</v>
      </c>
      <c r="T45" s="88" t="s">
        <v>34</v>
      </c>
    </row>
    <row r="46" spans="1:20" ht="28.8" x14ac:dyDescent="0.3">
      <c r="A46" s="205" t="s">
        <v>138</v>
      </c>
      <c r="B46" s="206" t="s">
        <v>139</v>
      </c>
      <c r="C46" s="207" t="s">
        <v>34</v>
      </c>
      <c r="D46" s="206"/>
      <c r="E46" s="206"/>
      <c r="F46" s="207" t="s">
        <v>34</v>
      </c>
      <c r="G46" s="221">
        <v>5</v>
      </c>
      <c r="H46" s="221">
        <v>7</v>
      </c>
      <c r="I46" s="221">
        <v>115</v>
      </c>
      <c r="J46" s="221">
        <f t="shared" ref="J46:J56" si="0">150*4.9/5.3</f>
        <v>138.67924528301887</v>
      </c>
      <c r="K46" s="221">
        <v>2</v>
      </c>
      <c r="L46" s="221" t="s">
        <v>127</v>
      </c>
      <c r="M46" s="221" t="b">
        <v>1</v>
      </c>
      <c r="N46" s="222" t="s">
        <v>561</v>
      </c>
      <c r="Q46" s="215" t="s">
        <v>578</v>
      </c>
      <c r="R46" s="216" t="s">
        <v>579</v>
      </c>
      <c r="S46" s="93" t="s">
        <v>54</v>
      </c>
      <c r="T46" s="48" t="s">
        <v>34</v>
      </c>
    </row>
    <row r="47" spans="1:20" ht="28.8" x14ac:dyDescent="0.3">
      <c r="A47" s="205" t="s">
        <v>138</v>
      </c>
      <c r="B47" s="206" t="s">
        <v>139</v>
      </c>
      <c r="C47" s="207" t="s">
        <v>35</v>
      </c>
      <c r="D47" s="206"/>
      <c r="E47" s="206"/>
      <c r="F47" s="207" t="s">
        <v>36</v>
      </c>
      <c r="G47" s="221">
        <v>5</v>
      </c>
      <c r="H47" s="221">
        <f>H46+I46+2.5</f>
        <v>124.5</v>
      </c>
      <c r="I47" s="221">
        <f>425*0.8</f>
        <v>340</v>
      </c>
      <c r="J47" s="221">
        <f t="shared" si="0"/>
        <v>138.67924528301887</v>
      </c>
      <c r="K47" s="221">
        <v>6</v>
      </c>
      <c r="L47" s="221" t="s">
        <v>127</v>
      </c>
      <c r="M47" s="221" t="b">
        <v>1</v>
      </c>
      <c r="N47" s="222" t="s">
        <v>561</v>
      </c>
      <c r="Q47" s="215" t="s">
        <v>599</v>
      </c>
      <c r="R47" s="216" t="s">
        <v>600</v>
      </c>
      <c r="S47" s="93" t="s">
        <v>54</v>
      </c>
      <c r="T47" s="48" t="s">
        <v>34</v>
      </c>
    </row>
    <row r="48" spans="1:20" ht="28.8" x14ac:dyDescent="0.3">
      <c r="A48" s="205" t="s">
        <v>138</v>
      </c>
      <c r="B48" s="206" t="s">
        <v>139</v>
      </c>
      <c r="C48" s="207" t="s">
        <v>45</v>
      </c>
      <c r="D48" s="206"/>
      <c r="E48" s="206"/>
      <c r="F48" s="207" t="s">
        <v>46</v>
      </c>
      <c r="G48" s="221">
        <v>5</v>
      </c>
      <c r="H48" s="221">
        <f>H47+I47+2.5</f>
        <v>467</v>
      </c>
      <c r="I48" s="221">
        <v>350</v>
      </c>
      <c r="J48" s="221">
        <f t="shared" si="0"/>
        <v>138.67924528301887</v>
      </c>
      <c r="K48" s="221">
        <v>7</v>
      </c>
      <c r="L48" s="221" t="s">
        <v>127</v>
      </c>
      <c r="M48" s="221" t="b">
        <v>1</v>
      </c>
      <c r="N48" s="222" t="s">
        <v>561</v>
      </c>
      <c r="Q48" s="215" t="s">
        <v>613</v>
      </c>
      <c r="R48" s="216" t="s">
        <v>614</v>
      </c>
      <c r="S48" s="93" t="s">
        <v>54</v>
      </c>
      <c r="T48" s="48" t="s">
        <v>34</v>
      </c>
    </row>
    <row r="49" spans="1:20" ht="28.8" x14ac:dyDescent="0.3">
      <c r="A49" s="213" t="s">
        <v>167</v>
      </c>
      <c r="B49" s="214" t="s">
        <v>168</v>
      </c>
      <c r="C49" s="223" t="s">
        <v>34</v>
      </c>
      <c r="D49" s="214"/>
      <c r="E49" s="214"/>
      <c r="F49" s="223" t="s">
        <v>34</v>
      </c>
      <c r="G49" s="224">
        <v>5</v>
      </c>
      <c r="H49" s="224">
        <v>7</v>
      </c>
      <c r="I49" s="224">
        <v>115</v>
      </c>
      <c r="J49" s="224">
        <f t="shared" si="0"/>
        <v>138.67924528301887</v>
      </c>
      <c r="K49" s="224">
        <v>2</v>
      </c>
      <c r="L49" s="224" t="s">
        <v>127</v>
      </c>
      <c r="M49" s="224" t="b">
        <v>1</v>
      </c>
      <c r="N49" s="225" t="s">
        <v>561</v>
      </c>
      <c r="Q49" s="215" t="s">
        <v>637</v>
      </c>
      <c r="R49" s="216" t="s">
        <v>638</v>
      </c>
      <c r="S49" s="93" t="s">
        <v>54</v>
      </c>
      <c r="T49" s="48" t="s">
        <v>34</v>
      </c>
    </row>
    <row r="50" spans="1:20" ht="28.8" x14ac:dyDescent="0.3">
      <c r="A50" s="213" t="s">
        <v>167</v>
      </c>
      <c r="B50" s="214" t="s">
        <v>168</v>
      </c>
      <c r="C50" s="223" t="s">
        <v>36</v>
      </c>
      <c r="D50" s="214"/>
      <c r="E50" s="214"/>
      <c r="F50" s="223" t="s">
        <v>36</v>
      </c>
      <c r="G50" s="224">
        <v>5</v>
      </c>
      <c r="H50" s="224">
        <f>H49+I49+2.5</f>
        <v>124.5</v>
      </c>
      <c r="I50" s="224">
        <v>340</v>
      </c>
      <c r="J50" s="224">
        <f t="shared" si="0"/>
        <v>138.67924528301887</v>
      </c>
      <c r="K50" s="224">
        <v>6</v>
      </c>
      <c r="L50" s="224" t="s">
        <v>127</v>
      </c>
      <c r="M50" s="224" t="b">
        <v>1</v>
      </c>
      <c r="N50" s="225" t="s">
        <v>561</v>
      </c>
      <c r="Q50" s="215" t="s">
        <v>641</v>
      </c>
      <c r="R50" s="216" t="s">
        <v>642</v>
      </c>
      <c r="S50" s="93" t="s">
        <v>54</v>
      </c>
      <c r="T50" s="48" t="s">
        <v>34</v>
      </c>
    </row>
    <row r="51" spans="1:20" x14ac:dyDescent="0.3">
      <c r="A51" s="213" t="s">
        <v>167</v>
      </c>
      <c r="B51" s="214" t="s">
        <v>168</v>
      </c>
      <c r="C51" s="223" t="s">
        <v>45</v>
      </c>
      <c r="D51" s="214"/>
      <c r="E51" s="214"/>
      <c r="F51" s="223" t="s">
        <v>46</v>
      </c>
      <c r="G51" s="224">
        <v>5</v>
      </c>
      <c r="H51" s="224">
        <f>H50+I50+2.5</f>
        <v>467</v>
      </c>
      <c r="I51" s="224">
        <v>350</v>
      </c>
      <c r="J51" s="224">
        <f t="shared" si="0"/>
        <v>138.67924528301887</v>
      </c>
      <c r="K51" s="224">
        <v>7</v>
      </c>
      <c r="L51" s="224" t="s">
        <v>127</v>
      </c>
      <c r="M51" s="224" t="b">
        <v>1</v>
      </c>
      <c r="N51" s="225" t="s">
        <v>561</v>
      </c>
      <c r="Q51" s="215" t="s">
        <v>666</v>
      </c>
      <c r="R51" s="216" t="s">
        <v>665</v>
      </c>
      <c r="S51" s="93" t="s">
        <v>54</v>
      </c>
      <c r="T51" s="48" t="s">
        <v>34</v>
      </c>
    </row>
    <row r="52" spans="1:20" ht="28.8" x14ac:dyDescent="0.3">
      <c r="A52" s="213" t="s">
        <v>167</v>
      </c>
      <c r="B52" s="214" t="s">
        <v>168</v>
      </c>
      <c r="C52" s="223" t="s">
        <v>174</v>
      </c>
      <c r="D52" s="214"/>
      <c r="E52" s="214"/>
      <c r="F52" s="223" t="s">
        <v>174</v>
      </c>
      <c r="G52" s="224">
        <v>5</v>
      </c>
      <c r="H52" s="224">
        <f>H51+I51+2.5</f>
        <v>819.5</v>
      </c>
      <c r="I52" s="224">
        <v>315</v>
      </c>
      <c r="J52" s="224">
        <f t="shared" si="0"/>
        <v>138.67924528301887</v>
      </c>
      <c r="K52" s="224">
        <v>5</v>
      </c>
      <c r="L52" s="224" t="s">
        <v>127</v>
      </c>
      <c r="M52" s="224" t="b">
        <v>1</v>
      </c>
      <c r="N52" s="225" t="s">
        <v>561</v>
      </c>
    </row>
    <row r="53" spans="1:20" x14ac:dyDescent="0.3">
      <c r="A53" s="231" t="s">
        <v>194</v>
      </c>
      <c r="B53" s="232" t="s">
        <v>195</v>
      </c>
      <c r="C53" s="233" t="s">
        <v>34</v>
      </c>
      <c r="D53" s="232"/>
      <c r="E53" s="232"/>
      <c r="F53" s="233" t="s">
        <v>34</v>
      </c>
      <c r="G53" s="234">
        <v>5</v>
      </c>
      <c r="H53" s="234">
        <v>7</v>
      </c>
      <c r="I53" s="234">
        <v>115</v>
      </c>
      <c r="J53" s="234">
        <f t="shared" si="0"/>
        <v>138.67924528301887</v>
      </c>
      <c r="K53" s="234">
        <v>2</v>
      </c>
      <c r="L53" s="234" t="s">
        <v>127</v>
      </c>
      <c r="M53" s="234" t="b">
        <v>1</v>
      </c>
      <c r="N53" s="235" t="s">
        <v>561</v>
      </c>
    </row>
    <row r="54" spans="1:20" x14ac:dyDescent="0.3">
      <c r="A54" s="231" t="s">
        <v>194</v>
      </c>
      <c r="B54" s="232" t="s">
        <v>195</v>
      </c>
      <c r="C54" s="233" t="s">
        <v>36</v>
      </c>
      <c r="D54" s="232"/>
      <c r="E54" s="232"/>
      <c r="F54" s="233" t="s">
        <v>36</v>
      </c>
      <c r="G54" s="234">
        <v>5</v>
      </c>
      <c r="H54" s="234">
        <f>H53+I53+2.5</f>
        <v>124.5</v>
      </c>
      <c r="I54" s="234">
        <v>340</v>
      </c>
      <c r="J54" s="234">
        <f t="shared" si="0"/>
        <v>138.67924528301887</v>
      </c>
      <c r="K54" s="234">
        <v>6</v>
      </c>
      <c r="L54" s="234" t="s">
        <v>127</v>
      </c>
      <c r="M54" s="234" t="b">
        <v>1</v>
      </c>
      <c r="N54" s="235" t="s">
        <v>561</v>
      </c>
    </row>
    <row r="55" spans="1:20" x14ac:dyDescent="0.3">
      <c r="A55" s="231" t="s">
        <v>194</v>
      </c>
      <c r="B55" s="232" t="s">
        <v>195</v>
      </c>
      <c r="C55" s="233" t="s">
        <v>45</v>
      </c>
      <c r="D55" s="232"/>
      <c r="E55" s="232"/>
      <c r="F55" s="233" t="s">
        <v>46</v>
      </c>
      <c r="G55" s="234">
        <v>5</v>
      </c>
      <c r="H55" s="234">
        <f>H54+I54+2.5</f>
        <v>467</v>
      </c>
      <c r="I55" s="234">
        <v>350</v>
      </c>
      <c r="J55" s="234">
        <f t="shared" si="0"/>
        <v>138.67924528301887</v>
      </c>
      <c r="K55" s="234">
        <v>7</v>
      </c>
      <c r="L55" s="234" t="s">
        <v>127</v>
      </c>
      <c r="M55" s="234" t="b">
        <v>1</v>
      </c>
      <c r="N55" s="235" t="s">
        <v>561</v>
      </c>
    </row>
    <row r="56" spans="1:20" ht="28.8" x14ac:dyDescent="0.3">
      <c r="A56" s="231" t="s">
        <v>194</v>
      </c>
      <c r="B56" s="232" t="s">
        <v>195</v>
      </c>
      <c r="C56" s="233" t="s">
        <v>174</v>
      </c>
      <c r="D56" s="232"/>
      <c r="E56" s="232"/>
      <c r="F56" s="233" t="s">
        <v>174</v>
      </c>
      <c r="G56" s="234">
        <v>5</v>
      </c>
      <c r="H56" s="234">
        <f>H55+I55+2.5</f>
        <v>819.5</v>
      </c>
      <c r="I56" s="234">
        <v>315</v>
      </c>
      <c r="J56" s="234">
        <f t="shared" si="0"/>
        <v>138.67924528301887</v>
      </c>
      <c r="K56" s="234">
        <v>5</v>
      </c>
      <c r="L56" s="234" t="s">
        <v>127</v>
      </c>
      <c r="M56" s="234" t="b">
        <v>1</v>
      </c>
      <c r="N56" s="235" t="s">
        <v>561</v>
      </c>
    </row>
    <row r="57" spans="1:20" ht="28.8" x14ac:dyDescent="0.3">
      <c r="A57" s="213" t="s">
        <v>199</v>
      </c>
      <c r="B57" s="214" t="s">
        <v>230</v>
      </c>
      <c r="C57" s="223" t="s">
        <v>34</v>
      </c>
      <c r="D57" s="214"/>
      <c r="E57" s="214"/>
      <c r="F57" s="223" t="s">
        <v>34</v>
      </c>
      <c r="G57" s="224">
        <v>5</v>
      </c>
      <c r="H57" s="224">
        <v>7</v>
      </c>
      <c r="I57" s="224">
        <v>115</v>
      </c>
      <c r="J57" s="224">
        <v>115</v>
      </c>
      <c r="K57" s="224">
        <v>2</v>
      </c>
      <c r="L57" s="224" t="s">
        <v>127</v>
      </c>
      <c r="M57" s="224" t="b">
        <v>1</v>
      </c>
      <c r="N57" s="225" t="s">
        <v>561</v>
      </c>
    </row>
    <row r="58" spans="1:20" ht="28.8" x14ac:dyDescent="0.3">
      <c r="A58" s="213" t="s">
        <v>199</v>
      </c>
      <c r="B58" s="214" t="s">
        <v>230</v>
      </c>
      <c r="C58" s="223" t="s">
        <v>200</v>
      </c>
      <c r="D58" s="214"/>
      <c r="E58" s="214"/>
      <c r="F58" s="223" t="s">
        <v>201</v>
      </c>
      <c r="G58" s="224">
        <v>5</v>
      </c>
      <c r="H58" s="224">
        <f>H57+I57+2.5</f>
        <v>124.5</v>
      </c>
      <c r="I58" s="224">
        <v>100</v>
      </c>
      <c r="J58" s="224">
        <v>115</v>
      </c>
      <c r="K58" s="224">
        <v>1</v>
      </c>
      <c r="L58" s="224" t="s">
        <v>127</v>
      </c>
      <c r="M58" s="224" t="b">
        <v>1</v>
      </c>
      <c r="N58" s="225" t="s">
        <v>561</v>
      </c>
    </row>
    <row r="59" spans="1:20" ht="28.8" x14ac:dyDescent="0.3">
      <c r="A59" s="213" t="s">
        <v>199</v>
      </c>
      <c r="B59" s="214" t="s">
        <v>230</v>
      </c>
      <c r="C59" s="223" t="s">
        <v>202</v>
      </c>
      <c r="D59" s="214"/>
      <c r="E59" s="214"/>
      <c r="F59" s="223" t="s">
        <v>203</v>
      </c>
      <c r="G59" s="224">
        <v>5</v>
      </c>
      <c r="H59" s="224">
        <f>H58+I58+2.5</f>
        <v>227</v>
      </c>
      <c r="I59" s="224">
        <v>410</v>
      </c>
      <c r="J59" s="224">
        <v>115</v>
      </c>
      <c r="K59" s="224">
        <v>4</v>
      </c>
      <c r="L59" s="224" t="s">
        <v>127</v>
      </c>
      <c r="M59" s="224" t="b">
        <v>1</v>
      </c>
      <c r="N59" s="225" t="s">
        <v>561</v>
      </c>
    </row>
    <row r="60" spans="1:20" ht="28.8" x14ac:dyDescent="0.3">
      <c r="A60" s="213" t="s">
        <v>199</v>
      </c>
      <c r="B60" s="214" t="s">
        <v>230</v>
      </c>
      <c r="C60" s="223" t="s">
        <v>35</v>
      </c>
      <c r="D60" s="214"/>
      <c r="E60" s="214"/>
      <c r="F60" s="223" t="s">
        <v>36</v>
      </c>
      <c r="G60" s="224">
        <v>5</v>
      </c>
      <c r="H60" s="224">
        <f>H59+I59+2.5</f>
        <v>639.5</v>
      </c>
      <c r="I60" s="224">
        <f>425*0.8</f>
        <v>340</v>
      </c>
      <c r="J60" s="224">
        <v>115</v>
      </c>
      <c r="K60" s="224">
        <v>6</v>
      </c>
      <c r="L60" s="224" t="s">
        <v>127</v>
      </c>
      <c r="M60" s="224" t="b">
        <v>1</v>
      </c>
      <c r="N60" s="225" t="s">
        <v>561</v>
      </c>
    </row>
    <row r="61" spans="1:20" ht="28.8" x14ac:dyDescent="0.3">
      <c r="A61" s="213" t="s">
        <v>199</v>
      </c>
      <c r="B61" s="214" t="s">
        <v>230</v>
      </c>
      <c r="C61" s="223" t="s">
        <v>45</v>
      </c>
      <c r="D61" s="214"/>
      <c r="E61" s="214"/>
      <c r="F61" s="223" t="s">
        <v>46</v>
      </c>
      <c r="G61" s="224">
        <v>5</v>
      </c>
      <c r="H61" s="224">
        <f>H60+I60+2.5</f>
        <v>982</v>
      </c>
      <c r="I61" s="224">
        <f>425*0.8</f>
        <v>340</v>
      </c>
      <c r="J61" s="224">
        <v>150</v>
      </c>
      <c r="K61" s="224">
        <v>7</v>
      </c>
      <c r="L61" s="224" t="s">
        <v>127</v>
      </c>
      <c r="M61" s="224" t="b">
        <v>0</v>
      </c>
      <c r="N61" s="225" t="s">
        <v>561</v>
      </c>
    </row>
    <row r="62" spans="1:20" x14ac:dyDescent="0.3">
      <c r="A62" s="231" t="s">
        <v>211</v>
      </c>
      <c r="B62" s="232" t="s">
        <v>212</v>
      </c>
      <c r="C62" s="233" t="s">
        <v>34</v>
      </c>
      <c r="D62" s="232"/>
      <c r="E62" s="232"/>
      <c r="F62" s="233" t="s">
        <v>34</v>
      </c>
      <c r="G62" s="234">
        <v>5</v>
      </c>
      <c r="H62" s="234">
        <v>7</v>
      </c>
      <c r="I62" s="234">
        <v>115</v>
      </c>
      <c r="J62" s="234">
        <v>115</v>
      </c>
      <c r="K62" s="234">
        <v>2</v>
      </c>
      <c r="L62" s="234" t="s">
        <v>127</v>
      </c>
      <c r="M62" s="234" t="b">
        <v>1</v>
      </c>
      <c r="N62" s="235" t="s">
        <v>561</v>
      </c>
    </row>
    <row r="63" spans="1:20" x14ac:dyDescent="0.3">
      <c r="A63" s="231" t="s">
        <v>211</v>
      </c>
      <c r="B63" s="232" t="s">
        <v>212</v>
      </c>
      <c r="C63" s="233" t="s">
        <v>200</v>
      </c>
      <c r="D63" s="232"/>
      <c r="E63" s="232"/>
      <c r="F63" s="233" t="s">
        <v>201</v>
      </c>
      <c r="G63" s="234">
        <v>5</v>
      </c>
      <c r="H63" s="234">
        <f>H62+I62+2.5</f>
        <v>124.5</v>
      </c>
      <c r="I63" s="234">
        <v>100</v>
      </c>
      <c r="J63" s="234">
        <v>115</v>
      </c>
      <c r="K63" s="234">
        <v>1</v>
      </c>
      <c r="L63" s="234" t="s">
        <v>127</v>
      </c>
      <c r="M63" s="234" t="b">
        <v>1</v>
      </c>
      <c r="N63" s="235" t="s">
        <v>561</v>
      </c>
    </row>
    <row r="64" spans="1:20" ht="28.8" x14ac:dyDescent="0.3">
      <c r="A64" s="231" t="s">
        <v>211</v>
      </c>
      <c r="B64" s="232" t="s">
        <v>212</v>
      </c>
      <c r="C64" s="233" t="s">
        <v>202</v>
      </c>
      <c r="D64" s="232"/>
      <c r="E64" s="232"/>
      <c r="F64" s="233" t="s">
        <v>203</v>
      </c>
      <c r="G64" s="234">
        <v>5</v>
      </c>
      <c r="H64" s="234">
        <f>H63+I63+2.5</f>
        <v>227</v>
      </c>
      <c r="I64" s="234">
        <v>410</v>
      </c>
      <c r="J64" s="234">
        <v>115</v>
      </c>
      <c r="K64" s="234">
        <v>4</v>
      </c>
      <c r="L64" s="234" t="s">
        <v>127</v>
      </c>
      <c r="M64" s="234" t="b">
        <v>1</v>
      </c>
      <c r="N64" s="235" t="s">
        <v>561</v>
      </c>
    </row>
    <row r="65" spans="1:14" x14ac:dyDescent="0.3">
      <c r="A65" s="231" t="s">
        <v>211</v>
      </c>
      <c r="B65" s="232" t="s">
        <v>212</v>
      </c>
      <c r="C65" s="233" t="s">
        <v>35</v>
      </c>
      <c r="D65" s="232"/>
      <c r="E65" s="232"/>
      <c r="F65" s="233" t="s">
        <v>36</v>
      </c>
      <c r="G65" s="234">
        <v>5</v>
      </c>
      <c r="H65" s="234">
        <f>H64+I64+2.5</f>
        <v>639.5</v>
      </c>
      <c r="I65" s="234">
        <f>425*0.8</f>
        <v>340</v>
      </c>
      <c r="J65" s="234">
        <v>115</v>
      </c>
      <c r="K65" s="234">
        <v>6</v>
      </c>
      <c r="L65" s="234" t="s">
        <v>127</v>
      </c>
      <c r="M65" s="234" t="b">
        <v>1</v>
      </c>
      <c r="N65" s="235" t="s">
        <v>561</v>
      </c>
    </row>
    <row r="66" spans="1:14" x14ac:dyDescent="0.3">
      <c r="A66" s="231" t="s">
        <v>211</v>
      </c>
      <c r="B66" s="232" t="s">
        <v>212</v>
      </c>
      <c r="C66" s="233" t="s">
        <v>45</v>
      </c>
      <c r="D66" s="232"/>
      <c r="E66" s="232"/>
      <c r="F66" s="233" t="s">
        <v>46</v>
      </c>
      <c r="G66" s="234">
        <v>5</v>
      </c>
      <c r="H66" s="234">
        <f>H65+I65+2.5</f>
        <v>982</v>
      </c>
      <c r="I66" s="234">
        <f>425*0.8</f>
        <v>340</v>
      </c>
      <c r="J66" s="234">
        <v>150</v>
      </c>
      <c r="K66" s="234">
        <v>7</v>
      </c>
      <c r="L66" s="234" t="s">
        <v>127</v>
      </c>
      <c r="M66" s="234" t="b">
        <v>0</v>
      </c>
      <c r="N66" s="235" t="s">
        <v>561</v>
      </c>
    </row>
    <row r="67" spans="1:14" ht="28.8" x14ac:dyDescent="0.3">
      <c r="A67" s="236" t="s">
        <v>445</v>
      </c>
      <c r="B67" s="237" t="s">
        <v>446</v>
      </c>
      <c r="C67" s="238" t="s">
        <v>34</v>
      </c>
      <c r="D67" s="237"/>
      <c r="E67" s="237"/>
      <c r="F67" s="238" t="s">
        <v>34</v>
      </c>
      <c r="G67" s="239">
        <v>5</v>
      </c>
      <c r="H67" s="239">
        <v>7</v>
      </c>
      <c r="I67" s="239">
        <v>115</v>
      </c>
      <c r="J67" s="239">
        <v>115</v>
      </c>
      <c r="K67" s="239">
        <v>2</v>
      </c>
      <c r="L67" s="239" t="s">
        <v>127</v>
      </c>
      <c r="M67" s="239" t="b">
        <v>1</v>
      </c>
      <c r="N67" s="240" t="s">
        <v>561</v>
      </c>
    </row>
    <row r="68" spans="1:14" ht="28.8" x14ac:dyDescent="0.3">
      <c r="A68" s="236" t="s">
        <v>445</v>
      </c>
      <c r="B68" s="237" t="s">
        <v>446</v>
      </c>
      <c r="C68" s="238" t="s">
        <v>200</v>
      </c>
      <c r="D68" s="237"/>
      <c r="E68" s="237"/>
      <c r="F68" s="238" t="s">
        <v>201</v>
      </c>
      <c r="G68" s="239">
        <v>5</v>
      </c>
      <c r="H68" s="239">
        <f>H67+I67+2.5</f>
        <v>124.5</v>
      </c>
      <c r="I68" s="239">
        <v>100</v>
      </c>
      <c r="J68" s="239">
        <v>115</v>
      </c>
      <c r="K68" s="239">
        <v>1</v>
      </c>
      <c r="L68" s="239" t="s">
        <v>127</v>
      </c>
      <c r="M68" s="239" t="b">
        <v>1</v>
      </c>
      <c r="N68" s="240" t="s">
        <v>561</v>
      </c>
    </row>
    <row r="69" spans="1:14" ht="28.8" x14ac:dyDescent="0.3">
      <c r="A69" s="236" t="s">
        <v>445</v>
      </c>
      <c r="B69" s="237" t="s">
        <v>446</v>
      </c>
      <c r="C69" s="238" t="s">
        <v>441</v>
      </c>
      <c r="D69" s="237"/>
      <c r="E69" s="237"/>
      <c r="F69" s="238" t="s">
        <v>441</v>
      </c>
      <c r="G69" s="239">
        <v>5</v>
      </c>
      <c r="H69" s="239">
        <f>H68+I68+2.5</f>
        <v>227</v>
      </c>
      <c r="I69" s="239">
        <v>100</v>
      </c>
      <c r="J69" s="239">
        <v>115</v>
      </c>
      <c r="K69" s="239">
        <v>1</v>
      </c>
      <c r="L69" s="239" t="s">
        <v>127</v>
      </c>
      <c r="M69" s="239" t="b">
        <v>1</v>
      </c>
      <c r="N69" s="240" t="s">
        <v>561</v>
      </c>
    </row>
    <row r="70" spans="1:14" ht="28.8" x14ac:dyDescent="0.3">
      <c r="A70" s="236" t="s">
        <v>445</v>
      </c>
      <c r="B70" s="237" t="s">
        <v>446</v>
      </c>
      <c r="C70" s="238" t="s">
        <v>443</v>
      </c>
      <c r="D70" s="237"/>
      <c r="E70" s="237"/>
      <c r="F70" s="238" t="s">
        <v>443</v>
      </c>
      <c r="G70" s="239">
        <v>5</v>
      </c>
      <c r="H70" s="239">
        <f>H69+I69+2.5</f>
        <v>329.5</v>
      </c>
      <c r="I70" s="239">
        <v>100</v>
      </c>
      <c r="J70" s="239">
        <v>115</v>
      </c>
      <c r="K70" s="239">
        <v>1</v>
      </c>
      <c r="L70" s="239" t="s">
        <v>127</v>
      </c>
      <c r="M70" s="239" t="b">
        <v>1</v>
      </c>
      <c r="N70" s="240" t="s">
        <v>561</v>
      </c>
    </row>
    <row r="71" spans="1:14" ht="28.8" x14ac:dyDescent="0.3">
      <c r="A71" s="236" t="s">
        <v>445</v>
      </c>
      <c r="B71" s="237" t="s">
        <v>446</v>
      </c>
      <c r="C71" s="238" t="s">
        <v>35</v>
      </c>
      <c r="D71" s="237"/>
      <c r="E71" s="237"/>
      <c r="F71" s="238" t="s">
        <v>36</v>
      </c>
      <c r="G71" s="239">
        <v>5</v>
      </c>
      <c r="H71" s="239">
        <f>H70+I70+2.5</f>
        <v>432</v>
      </c>
      <c r="I71" s="239">
        <f>425*0.8</f>
        <v>340</v>
      </c>
      <c r="J71" s="239">
        <v>115</v>
      </c>
      <c r="K71" s="239">
        <v>6</v>
      </c>
      <c r="L71" s="239" t="s">
        <v>127</v>
      </c>
      <c r="M71" s="239" t="b">
        <v>1</v>
      </c>
      <c r="N71" s="240" t="s">
        <v>561</v>
      </c>
    </row>
    <row r="72" spans="1:14" ht="28.8" x14ac:dyDescent="0.3">
      <c r="A72" s="236" t="s">
        <v>445</v>
      </c>
      <c r="B72" s="237" t="s">
        <v>446</v>
      </c>
      <c r="C72" s="238" t="s">
        <v>45</v>
      </c>
      <c r="D72" s="237"/>
      <c r="E72" s="237"/>
      <c r="F72" s="238" t="s">
        <v>46</v>
      </c>
      <c r="G72" s="239">
        <v>5</v>
      </c>
      <c r="H72" s="239">
        <f>H71+I71+2.5</f>
        <v>774.5</v>
      </c>
      <c r="I72" s="239">
        <f>425*0.8</f>
        <v>340</v>
      </c>
      <c r="J72" s="239">
        <v>150</v>
      </c>
      <c r="K72" s="239">
        <v>7</v>
      </c>
      <c r="L72" s="239" t="s">
        <v>127</v>
      </c>
      <c r="M72" s="239" t="b">
        <v>0</v>
      </c>
      <c r="N72" s="240" t="s">
        <v>561</v>
      </c>
    </row>
    <row r="73" spans="1:14" ht="28.8" x14ac:dyDescent="0.3">
      <c r="A73" s="226" t="s">
        <v>213</v>
      </c>
      <c r="B73" s="227" t="s">
        <v>214</v>
      </c>
      <c r="C73" s="228" t="s">
        <v>34</v>
      </c>
      <c r="D73" s="227"/>
      <c r="E73" s="227"/>
      <c r="F73" s="228" t="s">
        <v>34</v>
      </c>
      <c r="G73" s="229">
        <v>5</v>
      </c>
      <c r="H73" s="229">
        <v>7</v>
      </c>
      <c r="I73" s="229">
        <v>115</v>
      </c>
      <c r="J73" s="229">
        <v>115</v>
      </c>
      <c r="K73" s="229">
        <v>2</v>
      </c>
      <c r="L73" s="229" t="s">
        <v>127</v>
      </c>
      <c r="M73" s="229" t="b">
        <v>1</v>
      </c>
      <c r="N73" s="230" t="s">
        <v>561</v>
      </c>
    </row>
    <row r="74" spans="1:14" ht="28.8" x14ac:dyDescent="0.3">
      <c r="A74" s="226" t="s">
        <v>213</v>
      </c>
      <c r="B74" s="227" t="s">
        <v>214</v>
      </c>
      <c r="C74" s="228" t="s">
        <v>200</v>
      </c>
      <c r="D74" s="227"/>
      <c r="E74" s="227"/>
      <c r="F74" s="228" t="s">
        <v>201</v>
      </c>
      <c r="G74" s="229">
        <v>5</v>
      </c>
      <c r="H74" s="229">
        <f>H73+I73+2.5</f>
        <v>124.5</v>
      </c>
      <c r="I74" s="229">
        <v>100</v>
      </c>
      <c r="J74" s="229">
        <v>115</v>
      </c>
      <c r="K74" s="229">
        <v>1</v>
      </c>
      <c r="L74" s="229" t="s">
        <v>127</v>
      </c>
      <c r="M74" s="229" t="b">
        <v>1</v>
      </c>
      <c r="N74" s="230" t="s">
        <v>561</v>
      </c>
    </row>
    <row r="75" spans="1:14" ht="28.8" x14ac:dyDescent="0.3">
      <c r="A75" s="226" t="s">
        <v>213</v>
      </c>
      <c r="B75" s="227" t="s">
        <v>214</v>
      </c>
      <c r="C75" s="228" t="s">
        <v>215</v>
      </c>
      <c r="D75" s="227"/>
      <c r="E75" s="227"/>
      <c r="F75" s="228" t="s">
        <v>203</v>
      </c>
      <c r="G75" s="229">
        <v>5</v>
      </c>
      <c r="H75" s="229">
        <f>H74+I74+2.5</f>
        <v>227</v>
      </c>
      <c r="I75" s="229">
        <v>410</v>
      </c>
      <c r="J75" s="229">
        <v>115</v>
      </c>
      <c r="K75" s="229">
        <v>4</v>
      </c>
      <c r="L75" s="229" t="s">
        <v>127</v>
      </c>
      <c r="M75" s="229" t="b">
        <v>1</v>
      </c>
      <c r="N75" s="230" t="s">
        <v>561</v>
      </c>
    </row>
    <row r="76" spans="1:14" ht="28.8" x14ac:dyDescent="0.3">
      <c r="A76" s="226" t="s">
        <v>213</v>
      </c>
      <c r="B76" s="227" t="s">
        <v>214</v>
      </c>
      <c r="C76" s="228" t="s">
        <v>35</v>
      </c>
      <c r="D76" s="227"/>
      <c r="E76" s="227"/>
      <c r="F76" s="228" t="s">
        <v>36</v>
      </c>
      <c r="G76" s="229">
        <v>5</v>
      </c>
      <c r="H76" s="229">
        <f>H75+I75+2.5</f>
        <v>639.5</v>
      </c>
      <c r="I76" s="229">
        <f>425*0.8</f>
        <v>340</v>
      </c>
      <c r="J76" s="229">
        <v>115</v>
      </c>
      <c r="K76" s="229">
        <v>6</v>
      </c>
      <c r="L76" s="229" t="s">
        <v>127</v>
      </c>
      <c r="M76" s="229" t="b">
        <v>1</v>
      </c>
      <c r="N76" s="230" t="s">
        <v>561</v>
      </c>
    </row>
    <row r="77" spans="1:14" ht="28.8" x14ac:dyDescent="0.3">
      <c r="A77" s="226" t="s">
        <v>213</v>
      </c>
      <c r="B77" s="227" t="s">
        <v>214</v>
      </c>
      <c r="C77" s="228" t="s">
        <v>45</v>
      </c>
      <c r="D77" s="227"/>
      <c r="E77" s="227"/>
      <c r="F77" s="228" t="s">
        <v>46</v>
      </c>
      <c r="G77" s="229">
        <v>5</v>
      </c>
      <c r="H77" s="229">
        <f>H76+I76+2.5</f>
        <v>982</v>
      </c>
      <c r="I77" s="229">
        <f>425*0.8</f>
        <v>340</v>
      </c>
      <c r="J77" s="229">
        <v>150</v>
      </c>
      <c r="K77" s="229">
        <v>7</v>
      </c>
      <c r="L77" s="229" t="s">
        <v>127</v>
      </c>
      <c r="M77" s="229" t="b">
        <v>0</v>
      </c>
      <c r="N77" s="230" t="s">
        <v>561</v>
      </c>
    </row>
    <row r="78" spans="1:14" ht="28.8" x14ac:dyDescent="0.3">
      <c r="A78" s="213" t="s">
        <v>262</v>
      </c>
      <c r="B78" s="214" t="s">
        <v>263</v>
      </c>
      <c r="C78" s="223" t="s">
        <v>34</v>
      </c>
      <c r="D78" s="214"/>
      <c r="E78" s="214"/>
      <c r="F78" s="223" t="s">
        <v>34</v>
      </c>
      <c r="G78" s="224">
        <v>5</v>
      </c>
      <c r="H78" s="224">
        <v>7</v>
      </c>
      <c r="I78" s="224">
        <v>115</v>
      </c>
      <c r="J78" s="224">
        <v>115</v>
      </c>
      <c r="K78" s="224">
        <v>2</v>
      </c>
      <c r="L78" s="224" t="s">
        <v>127</v>
      </c>
      <c r="M78" s="224" t="b">
        <v>1</v>
      </c>
      <c r="N78" s="225" t="s">
        <v>561</v>
      </c>
    </row>
    <row r="79" spans="1:14" ht="28.8" x14ac:dyDescent="0.3">
      <c r="A79" s="213" t="s">
        <v>262</v>
      </c>
      <c r="B79" s="214" t="s">
        <v>263</v>
      </c>
      <c r="C79" s="223" t="s">
        <v>35</v>
      </c>
      <c r="D79" s="214"/>
      <c r="E79" s="214"/>
      <c r="F79" s="223" t="s">
        <v>36</v>
      </c>
      <c r="G79" s="224">
        <v>5</v>
      </c>
      <c r="H79" s="224">
        <f>H78+I78+2.5</f>
        <v>124.5</v>
      </c>
      <c r="I79" s="224">
        <f>425*0.8</f>
        <v>340</v>
      </c>
      <c r="J79" s="224">
        <v>115</v>
      </c>
      <c r="K79" s="224">
        <v>6</v>
      </c>
      <c r="L79" s="224" t="s">
        <v>127</v>
      </c>
      <c r="M79" s="224" t="b">
        <v>1</v>
      </c>
      <c r="N79" s="225" t="s">
        <v>561</v>
      </c>
    </row>
    <row r="80" spans="1:14" ht="28.8" x14ac:dyDescent="0.3">
      <c r="A80" s="213" t="s">
        <v>262</v>
      </c>
      <c r="B80" s="214" t="s">
        <v>263</v>
      </c>
      <c r="C80" s="223" t="s">
        <v>200</v>
      </c>
      <c r="D80" s="214"/>
      <c r="E80" s="214"/>
      <c r="F80" s="223" t="s">
        <v>201</v>
      </c>
      <c r="G80" s="224">
        <v>5</v>
      </c>
      <c r="H80" s="224">
        <f>H79+I79+2.5</f>
        <v>467</v>
      </c>
      <c r="I80" s="224">
        <v>100</v>
      </c>
      <c r="J80" s="224">
        <v>115</v>
      </c>
      <c r="K80" s="224">
        <v>1</v>
      </c>
      <c r="L80" s="224" t="s">
        <v>127</v>
      </c>
      <c r="M80" s="224" t="b">
        <v>1</v>
      </c>
      <c r="N80" s="225" t="s">
        <v>561</v>
      </c>
    </row>
    <row r="81" spans="1:14" ht="28.8" x14ac:dyDescent="0.3">
      <c r="A81" s="213" t="s">
        <v>262</v>
      </c>
      <c r="B81" s="214" t="s">
        <v>263</v>
      </c>
      <c r="C81" s="223" t="s">
        <v>215</v>
      </c>
      <c r="D81" s="214"/>
      <c r="E81" s="214"/>
      <c r="F81" s="223" t="s">
        <v>203</v>
      </c>
      <c r="G81" s="224">
        <v>5</v>
      </c>
      <c r="H81" s="224">
        <f>H80+I80+2.5</f>
        <v>569.5</v>
      </c>
      <c r="I81" s="224">
        <v>250</v>
      </c>
      <c r="J81" s="224">
        <v>115</v>
      </c>
      <c r="K81" s="224">
        <v>2</v>
      </c>
      <c r="L81" s="224" t="s">
        <v>127</v>
      </c>
      <c r="M81" s="224" t="b">
        <v>1</v>
      </c>
      <c r="N81" s="225" t="s">
        <v>561</v>
      </c>
    </row>
    <row r="82" spans="1:14" ht="28.8" x14ac:dyDescent="0.3">
      <c r="A82" s="213" t="s">
        <v>262</v>
      </c>
      <c r="B82" s="214" t="s">
        <v>263</v>
      </c>
      <c r="C82" s="223" t="s">
        <v>264</v>
      </c>
      <c r="D82" s="214"/>
      <c r="E82" s="214"/>
      <c r="F82" s="223" t="s">
        <v>264</v>
      </c>
      <c r="G82" s="224">
        <v>5</v>
      </c>
      <c r="H82" s="224">
        <f>H81+I81+2.5</f>
        <v>822</v>
      </c>
      <c r="I82" s="224">
        <f>425*0.8</f>
        <v>340</v>
      </c>
      <c r="J82" s="224">
        <v>115</v>
      </c>
      <c r="K82" s="224">
        <v>6</v>
      </c>
      <c r="L82" s="224" t="s">
        <v>127</v>
      </c>
      <c r="M82" s="224" t="b">
        <v>0</v>
      </c>
      <c r="N82" s="225" t="s">
        <v>561</v>
      </c>
    </row>
    <row r="83" spans="1:14" ht="28.8" x14ac:dyDescent="0.3">
      <c r="A83" s="213" t="s">
        <v>262</v>
      </c>
      <c r="B83" s="214" t="s">
        <v>263</v>
      </c>
      <c r="C83" s="223" t="s">
        <v>265</v>
      </c>
      <c r="D83" s="214"/>
      <c r="E83" s="214"/>
      <c r="F83" s="223" t="s">
        <v>265</v>
      </c>
      <c r="G83" s="224">
        <v>5</v>
      </c>
      <c r="H83" s="224">
        <f>H82+I82+2.5</f>
        <v>1164.5</v>
      </c>
      <c r="I83" s="224">
        <f>425*0.8</f>
        <v>340</v>
      </c>
      <c r="J83" s="224">
        <v>150</v>
      </c>
      <c r="K83" s="224">
        <v>7</v>
      </c>
      <c r="L83" s="224" t="s">
        <v>127</v>
      </c>
      <c r="M83" s="224" t="b">
        <v>0</v>
      </c>
      <c r="N83" s="225" t="s">
        <v>561</v>
      </c>
    </row>
    <row r="84" spans="1:14" ht="28.8" x14ac:dyDescent="0.3">
      <c r="A84" s="231" t="s">
        <v>236</v>
      </c>
      <c r="B84" s="232" t="s">
        <v>234</v>
      </c>
      <c r="C84" s="233" t="s">
        <v>34</v>
      </c>
      <c r="D84" s="232"/>
      <c r="E84" s="232"/>
      <c r="F84" s="233" t="s">
        <v>34</v>
      </c>
      <c r="G84" s="234">
        <v>5</v>
      </c>
      <c r="H84" s="234">
        <v>7</v>
      </c>
      <c r="I84" s="234">
        <v>115</v>
      </c>
      <c r="J84" s="234">
        <v>115</v>
      </c>
      <c r="K84" s="234">
        <v>2</v>
      </c>
      <c r="L84" s="234" t="s">
        <v>127</v>
      </c>
      <c r="M84" s="234" t="b">
        <v>1</v>
      </c>
      <c r="N84" s="235" t="s">
        <v>561</v>
      </c>
    </row>
    <row r="85" spans="1:14" ht="28.8" x14ac:dyDescent="0.3">
      <c r="A85" s="231" t="s">
        <v>236</v>
      </c>
      <c r="B85" s="232" t="s">
        <v>234</v>
      </c>
      <c r="C85" s="233" t="s">
        <v>200</v>
      </c>
      <c r="D85" s="232"/>
      <c r="E85" s="232"/>
      <c r="F85" s="233" t="s">
        <v>201</v>
      </c>
      <c r="G85" s="234">
        <v>5</v>
      </c>
      <c r="H85" s="234">
        <f>H84+I84+2.5</f>
        <v>124.5</v>
      </c>
      <c r="I85" s="234">
        <v>100</v>
      </c>
      <c r="J85" s="234">
        <v>115</v>
      </c>
      <c r="K85" s="234">
        <v>1</v>
      </c>
      <c r="L85" s="234" t="s">
        <v>127</v>
      </c>
      <c r="M85" s="234" t="b">
        <v>1</v>
      </c>
      <c r="N85" s="235" t="s">
        <v>561</v>
      </c>
    </row>
    <row r="86" spans="1:14" ht="28.8" x14ac:dyDescent="0.3">
      <c r="A86" s="231" t="s">
        <v>236</v>
      </c>
      <c r="B86" s="232" t="s">
        <v>234</v>
      </c>
      <c r="C86" s="233" t="s">
        <v>202</v>
      </c>
      <c r="D86" s="232"/>
      <c r="E86" s="232"/>
      <c r="F86" s="233" t="s">
        <v>203</v>
      </c>
      <c r="G86" s="234">
        <v>5</v>
      </c>
      <c r="H86" s="234">
        <f>H85+I85+2.5</f>
        <v>227</v>
      </c>
      <c r="I86" s="234">
        <v>410</v>
      </c>
      <c r="J86" s="234">
        <v>115</v>
      </c>
      <c r="K86" s="234">
        <v>4</v>
      </c>
      <c r="L86" s="234" t="s">
        <v>127</v>
      </c>
      <c r="M86" s="234" t="b">
        <v>1</v>
      </c>
      <c r="N86" s="235" t="s">
        <v>561</v>
      </c>
    </row>
    <row r="87" spans="1:14" ht="28.8" x14ac:dyDescent="0.3">
      <c r="A87" s="231" t="s">
        <v>236</v>
      </c>
      <c r="B87" s="232" t="s">
        <v>234</v>
      </c>
      <c r="C87" s="233" t="s">
        <v>35</v>
      </c>
      <c r="D87" s="232"/>
      <c r="E87" s="232"/>
      <c r="F87" s="233" t="s">
        <v>36</v>
      </c>
      <c r="G87" s="234">
        <v>5</v>
      </c>
      <c r="H87" s="234">
        <f>H86+I86+2.5</f>
        <v>639.5</v>
      </c>
      <c r="I87" s="234">
        <f>425*0.8</f>
        <v>340</v>
      </c>
      <c r="J87" s="234">
        <v>115</v>
      </c>
      <c r="K87" s="234">
        <v>6</v>
      </c>
      <c r="L87" s="234" t="s">
        <v>127</v>
      </c>
      <c r="M87" s="234" t="b">
        <v>1</v>
      </c>
      <c r="N87" s="235" t="s">
        <v>561</v>
      </c>
    </row>
    <row r="88" spans="1:14" ht="28.8" x14ac:dyDescent="0.3">
      <c r="A88" s="231" t="s">
        <v>236</v>
      </c>
      <c r="B88" s="232" t="s">
        <v>234</v>
      </c>
      <c r="C88" s="233" t="s">
        <v>45</v>
      </c>
      <c r="D88" s="232"/>
      <c r="E88" s="232"/>
      <c r="F88" s="233" t="s">
        <v>46</v>
      </c>
      <c r="G88" s="234">
        <v>5</v>
      </c>
      <c r="H88" s="234">
        <f>H87+I87+2.5</f>
        <v>982</v>
      </c>
      <c r="I88" s="234">
        <f>425*0.8</f>
        <v>340</v>
      </c>
      <c r="J88" s="234">
        <v>150</v>
      </c>
      <c r="K88" s="234">
        <v>7</v>
      </c>
      <c r="L88" s="234" t="s">
        <v>127</v>
      </c>
      <c r="M88" s="234" t="b">
        <v>0</v>
      </c>
      <c r="N88" s="235" t="s">
        <v>561</v>
      </c>
    </row>
    <row r="89" spans="1:14" ht="28.8" x14ac:dyDescent="0.3">
      <c r="A89" s="213" t="s">
        <v>224</v>
      </c>
      <c r="B89" s="214" t="s">
        <v>225</v>
      </c>
      <c r="C89" s="223" t="s">
        <v>34</v>
      </c>
      <c r="D89" s="214"/>
      <c r="E89" s="214"/>
      <c r="F89" s="223" t="s">
        <v>34</v>
      </c>
      <c r="G89" s="224">
        <v>5</v>
      </c>
      <c r="H89" s="224">
        <v>7</v>
      </c>
      <c r="I89" s="224">
        <v>115</v>
      </c>
      <c r="J89" s="224">
        <v>115</v>
      </c>
      <c r="K89" s="224">
        <v>2</v>
      </c>
      <c r="L89" s="224" t="s">
        <v>127</v>
      </c>
      <c r="M89" s="224" t="b">
        <v>1</v>
      </c>
      <c r="N89" s="225" t="s">
        <v>561</v>
      </c>
    </row>
    <row r="90" spans="1:14" ht="28.8" x14ac:dyDescent="0.3">
      <c r="A90" s="213" t="s">
        <v>224</v>
      </c>
      <c r="B90" s="214" t="s">
        <v>225</v>
      </c>
      <c r="C90" s="223" t="s">
        <v>200</v>
      </c>
      <c r="D90" s="214"/>
      <c r="E90" s="214"/>
      <c r="F90" s="223" t="s">
        <v>201</v>
      </c>
      <c r="G90" s="224">
        <v>5</v>
      </c>
      <c r="H90" s="224">
        <f>H89+I89+2.5</f>
        <v>124.5</v>
      </c>
      <c r="I90" s="224">
        <v>100</v>
      </c>
      <c r="J90" s="224">
        <v>115</v>
      </c>
      <c r="K90" s="224">
        <v>1</v>
      </c>
      <c r="L90" s="224" t="s">
        <v>127</v>
      </c>
      <c r="M90" s="224" t="b">
        <v>1</v>
      </c>
      <c r="N90" s="225" t="s">
        <v>561</v>
      </c>
    </row>
    <row r="91" spans="1:14" ht="28.8" x14ac:dyDescent="0.3">
      <c r="A91" s="213" t="s">
        <v>224</v>
      </c>
      <c r="B91" s="214" t="s">
        <v>225</v>
      </c>
      <c r="C91" s="223" t="s">
        <v>202</v>
      </c>
      <c r="D91" s="214"/>
      <c r="E91" s="214"/>
      <c r="F91" s="223" t="s">
        <v>203</v>
      </c>
      <c r="G91" s="224">
        <v>5</v>
      </c>
      <c r="H91" s="224">
        <f>H90+I90+2.5</f>
        <v>227</v>
      </c>
      <c r="I91" s="224">
        <v>410</v>
      </c>
      <c r="J91" s="224">
        <v>115</v>
      </c>
      <c r="K91" s="224">
        <v>4</v>
      </c>
      <c r="L91" s="224" t="s">
        <v>127</v>
      </c>
      <c r="M91" s="224" t="b">
        <v>1</v>
      </c>
      <c r="N91" s="225" t="s">
        <v>561</v>
      </c>
    </row>
    <row r="92" spans="1:14" ht="28.8" x14ac:dyDescent="0.3">
      <c r="A92" s="213" t="s">
        <v>224</v>
      </c>
      <c r="B92" s="214" t="s">
        <v>225</v>
      </c>
      <c r="C92" s="223" t="s">
        <v>35</v>
      </c>
      <c r="D92" s="214"/>
      <c r="E92" s="214"/>
      <c r="F92" s="223" t="s">
        <v>36</v>
      </c>
      <c r="G92" s="224">
        <v>5</v>
      </c>
      <c r="H92" s="224">
        <f>H91+I91+2.5</f>
        <v>639.5</v>
      </c>
      <c r="I92" s="224">
        <f>425*0.8</f>
        <v>340</v>
      </c>
      <c r="J92" s="224">
        <v>115</v>
      </c>
      <c r="K92" s="224">
        <v>6</v>
      </c>
      <c r="L92" s="224" t="s">
        <v>127</v>
      </c>
      <c r="M92" s="224" t="b">
        <v>1</v>
      </c>
      <c r="N92" s="225" t="s">
        <v>561</v>
      </c>
    </row>
    <row r="93" spans="1:14" ht="28.8" x14ac:dyDescent="0.3">
      <c r="A93" s="213" t="s">
        <v>224</v>
      </c>
      <c r="B93" s="214" t="s">
        <v>225</v>
      </c>
      <c r="C93" s="223" t="s">
        <v>45</v>
      </c>
      <c r="D93" s="214"/>
      <c r="E93" s="214"/>
      <c r="F93" s="223" t="s">
        <v>46</v>
      </c>
      <c r="G93" s="224">
        <v>5</v>
      </c>
      <c r="H93" s="224">
        <f>H92+I92+2.5</f>
        <v>982</v>
      </c>
      <c r="I93" s="224">
        <f>425*0.8</f>
        <v>340</v>
      </c>
      <c r="J93" s="224">
        <v>150</v>
      </c>
      <c r="K93" s="224">
        <v>7</v>
      </c>
      <c r="L93" s="224" t="s">
        <v>127</v>
      </c>
      <c r="M93" s="224" t="b">
        <v>0</v>
      </c>
      <c r="N93" s="225" t="s">
        <v>561</v>
      </c>
    </row>
    <row r="94" spans="1:14" ht="28.8" x14ac:dyDescent="0.3">
      <c r="A94" s="231" t="s">
        <v>227</v>
      </c>
      <c r="B94" s="232" t="s">
        <v>228</v>
      </c>
      <c r="C94" s="233" t="s">
        <v>34</v>
      </c>
      <c r="D94" s="232"/>
      <c r="E94" s="232"/>
      <c r="F94" s="233" t="s">
        <v>34</v>
      </c>
      <c r="G94" s="234">
        <v>5</v>
      </c>
      <c r="H94" s="234">
        <v>7</v>
      </c>
      <c r="I94" s="234">
        <v>115</v>
      </c>
      <c r="J94" s="234">
        <v>115</v>
      </c>
      <c r="K94" s="234">
        <v>2</v>
      </c>
      <c r="L94" s="234" t="s">
        <v>127</v>
      </c>
      <c r="M94" s="234" t="b">
        <v>1</v>
      </c>
      <c r="N94" s="235" t="s">
        <v>561</v>
      </c>
    </row>
    <row r="95" spans="1:14" ht="28.8" x14ac:dyDescent="0.3">
      <c r="A95" s="231" t="s">
        <v>227</v>
      </c>
      <c r="B95" s="232" t="s">
        <v>228</v>
      </c>
      <c r="C95" s="233" t="s">
        <v>200</v>
      </c>
      <c r="D95" s="232"/>
      <c r="E95" s="232"/>
      <c r="F95" s="233" t="s">
        <v>201</v>
      </c>
      <c r="G95" s="234">
        <v>5</v>
      </c>
      <c r="H95" s="234">
        <f>H94+I94+2.5</f>
        <v>124.5</v>
      </c>
      <c r="I95" s="234">
        <v>100</v>
      </c>
      <c r="J95" s="234">
        <v>115</v>
      </c>
      <c r="K95" s="234">
        <v>1</v>
      </c>
      <c r="L95" s="234" t="s">
        <v>127</v>
      </c>
      <c r="M95" s="234" t="b">
        <v>1</v>
      </c>
      <c r="N95" s="235" t="s">
        <v>561</v>
      </c>
    </row>
    <row r="96" spans="1:14" ht="28.8" x14ac:dyDescent="0.3">
      <c r="A96" s="231" t="s">
        <v>227</v>
      </c>
      <c r="B96" s="232" t="s">
        <v>228</v>
      </c>
      <c r="C96" s="233" t="s">
        <v>215</v>
      </c>
      <c r="D96" s="232"/>
      <c r="E96" s="232"/>
      <c r="F96" s="233" t="s">
        <v>203</v>
      </c>
      <c r="G96" s="234">
        <v>5</v>
      </c>
      <c r="H96" s="234">
        <f>H95+I95+2.5</f>
        <v>227</v>
      </c>
      <c r="I96" s="234">
        <v>410</v>
      </c>
      <c r="J96" s="234">
        <v>115</v>
      </c>
      <c r="K96" s="234">
        <v>4</v>
      </c>
      <c r="L96" s="234" t="s">
        <v>127</v>
      </c>
      <c r="M96" s="234" t="b">
        <v>1</v>
      </c>
      <c r="N96" s="235" t="s">
        <v>561</v>
      </c>
    </row>
    <row r="97" spans="1:14" ht="28.8" x14ac:dyDescent="0.3">
      <c r="A97" s="231" t="s">
        <v>227</v>
      </c>
      <c r="B97" s="232" t="s">
        <v>228</v>
      </c>
      <c r="C97" s="233" t="s">
        <v>35</v>
      </c>
      <c r="D97" s="232"/>
      <c r="E97" s="232"/>
      <c r="F97" s="233" t="s">
        <v>36</v>
      </c>
      <c r="G97" s="234">
        <v>5</v>
      </c>
      <c r="H97" s="234">
        <f>H96+I96+2.5</f>
        <v>639.5</v>
      </c>
      <c r="I97" s="234">
        <f>425*0.8</f>
        <v>340</v>
      </c>
      <c r="J97" s="234">
        <v>115</v>
      </c>
      <c r="K97" s="234">
        <v>6</v>
      </c>
      <c r="L97" s="234" t="s">
        <v>127</v>
      </c>
      <c r="M97" s="234" t="b">
        <v>1</v>
      </c>
      <c r="N97" s="235" t="s">
        <v>561</v>
      </c>
    </row>
    <row r="98" spans="1:14" ht="28.8" x14ac:dyDescent="0.3">
      <c r="A98" s="231" t="s">
        <v>227</v>
      </c>
      <c r="B98" s="232" t="s">
        <v>228</v>
      </c>
      <c r="C98" s="233" t="s">
        <v>45</v>
      </c>
      <c r="D98" s="232"/>
      <c r="E98" s="232"/>
      <c r="F98" s="233" t="s">
        <v>46</v>
      </c>
      <c r="G98" s="234">
        <v>5</v>
      </c>
      <c r="H98" s="234">
        <f>H97+I97+2.5</f>
        <v>982</v>
      </c>
      <c r="I98" s="234">
        <f>425*0.8</f>
        <v>340</v>
      </c>
      <c r="J98" s="234">
        <v>150</v>
      </c>
      <c r="K98" s="234">
        <v>7</v>
      </c>
      <c r="L98" s="234" t="s">
        <v>127</v>
      </c>
      <c r="M98" s="234" t="b">
        <v>0</v>
      </c>
      <c r="N98" s="235" t="s">
        <v>561</v>
      </c>
    </row>
    <row r="99" spans="1:14" ht="28.8" x14ac:dyDescent="0.3">
      <c r="A99" s="241" t="s">
        <v>239</v>
      </c>
      <c r="B99" s="242" t="s">
        <v>240</v>
      </c>
      <c r="C99" s="243" t="s">
        <v>34</v>
      </c>
      <c r="D99" s="242"/>
      <c r="E99" s="242"/>
      <c r="F99" s="243" t="s">
        <v>34</v>
      </c>
      <c r="G99" s="244">
        <v>5</v>
      </c>
      <c r="H99" s="244">
        <v>7</v>
      </c>
      <c r="I99" s="244">
        <v>115</v>
      </c>
      <c r="J99" s="244">
        <v>115</v>
      </c>
      <c r="K99" s="244">
        <v>2</v>
      </c>
      <c r="L99" s="244" t="s">
        <v>127</v>
      </c>
      <c r="M99" s="244" t="b">
        <v>1</v>
      </c>
      <c r="N99" s="245" t="s">
        <v>561</v>
      </c>
    </row>
    <row r="100" spans="1:14" ht="28.8" x14ac:dyDescent="0.3">
      <c r="A100" s="241" t="s">
        <v>239</v>
      </c>
      <c r="B100" s="242" t="s">
        <v>240</v>
      </c>
      <c r="C100" s="243" t="s">
        <v>35</v>
      </c>
      <c r="D100" s="242"/>
      <c r="E100" s="242"/>
      <c r="F100" s="243" t="s">
        <v>36</v>
      </c>
      <c r="G100" s="244">
        <v>5</v>
      </c>
      <c r="H100" s="244">
        <f>H99+I99+2.5</f>
        <v>124.5</v>
      </c>
      <c r="I100" s="244">
        <f>425*0.8</f>
        <v>340</v>
      </c>
      <c r="J100" s="244">
        <v>115</v>
      </c>
      <c r="K100" s="244">
        <v>6</v>
      </c>
      <c r="L100" s="244" t="s">
        <v>127</v>
      </c>
      <c r="M100" s="244" t="b">
        <v>1</v>
      </c>
      <c r="N100" s="245" t="s">
        <v>561</v>
      </c>
    </row>
    <row r="101" spans="1:14" ht="28.8" x14ac:dyDescent="0.3">
      <c r="A101" s="241" t="s">
        <v>239</v>
      </c>
      <c r="B101" s="242" t="s">
        <v>240</v>
      </c>
      <c r="C101" s="243" t="s">
        <v>279</v>
      </c>
      <c r="D101" s="242"/>
      <c r="E101" s="242"/>
      <c r="F101" s="243" t="s">
        <v>280</v>
      </c>
      <c r="G101" s="244">
        <v>5</v>
      </c>
      <c r="H101" s="244">
        <f>H100+I100+2.5</f>
        <v>467</v>
      </c>
      <c r="I101" s="244">
        <v>115</v>
      </c>
      <c r="J101" s="244">
        <v>115</v>
      </c>
      <c r="K101" s="244">
        <v>1</v>
      </c>
      <c r="L101" s="244" t="s">
        <v>127</v>
      </c>
      <c r="M101" s="244" t="b">
        <v>0</v>
      </c>
      <c r="N101" s="245" t="s">
        <v>561</v>
      </c>
    </row>
    <row r="102" spans="1:14" ht="28.8" x14ac:dyDescent="0.3">
      <c r="A102" s="213" t="s">
        <v>449</v>
      </c>
      <c r="B102" s="214" t="s">
        <v>450</v>
      </c>
      <c r="C102" s="223" t="s">
        <v>34</v>
      </c>
      <c r="D102" s="214"/>
      <c r="E102" s="214"/>
      <c r="F102" s="223" t="s">
        <v>34</v>
      </c>
      <c r="G102" s="224">
        <v>5</v>
      </c>
      <c r="H102" s="224">
        <v>7</v>
      </c>
      <c r="I102" s="224">
        <v>115</v>
      </c>
      <c r="J102" s="224">
        <v>115</v>
      </c>
      <c r="K102" s="224">
        <v>2</v>
      </c>
      <c r="L102" s="224" t="s">
        <v>127</v>
      </c>
      <c r="M102" s="224" t="b">
        <v>1</v>
      </c>
      <c r="N102" s="225" t="s">
        <v>561</v>
      </c>
    </row>
    <row r="103" spans="1:14" ht="28.8" x14ac:dyDescent="0.3">
      <c r="A103" s="213" t="s">
        <v>449</v>
      </c>
      <c r="B103" s="214" t="s">
        <v>450</v>
      </c>
      <c r="C103" s="223" t="s">
        <v>35</v>
      </c>
      <c r="D103" s="214"/>
      <c r="E103" s="214"/>
      <c r="F103" s="223" t="s">
        <v>36</v>
      </c>
      <c r="G103" s="224">
        <v>5</v>
      </c>
      <c r="H103" s="224">
        <f t="shared" ref="H103:H108" si="1">H102+I102+2.5</f>
        <v>124.5</v>
      </c>
      <c r="I103" s="224">
        <f>425*0.8</f>
        <v>340</v>
      </c>
      <c r="J103" s="224">
        <v>115</v>
      </c>
      <c r="K103" s="224">
        <v>6</v>
      </c>
      <c r="L103" s="224" t="s">
        <v>127</v>
      </c>
      <c r="M103" s="224" t="b">
        <v>1</v>
      </c>
      <c r="N103" s="225" t="s">
        <v>561</v>
      </c>
    </row>
    <row r="104" spans="1:14" ht="28.8" x14ac:dyDescent="0.3">
      <c r="A104" s="213" t="s">
        <v>449</v>
      </c>
      <c r="B104" s="214" t="s">
        <v>450</v>
      </c>
      <c r="C104" s="223" t="s">
        <v>624</v>
      </c>
      <c r="D104" s="214"/>
      <c r="E104" s="214"/>
      <c r="F104" s="223" t="s">
        <v>624</v>
      </c>
      <c r="G104" s="224">
        <v>5</v>
      </c>
      <c r="H104" s="224">
        <f t="shared" si="1"/>
        <v>467</v>
      </c>
      <c r="I104" s="224">
        <v>115</v>
      </c>
      <c r="J104" s="224">
        <v>115</v>
      </c>
      <c r="K104" s="224">
        <v>1</v>
      </c>
      <c r="L104" s="224" t="s">
        <v>127</v>
      </c>
      <c r="M104" s="224" t="b">
        <v>1</v>
      </c>
      <c r="N104" s="225" t="s">
        <v>561</v>
      </c>
    </row>
    <row r="105" spans="1:14" ht="28.8" x14ac:dyDescent="0.3">
      <c r="A105" s="213" t="s">
        <v>449</v>
      </c>
      <c r="B105" s="214" t="s">
        <v>450</v>
      </c>
      <c r="C105" s="223" t="s">
        <v>279</v>
      </c>
      <c r="D105" s="214"/>
      <c r="E105" s="214"/>
      <c r="F105" s="223" t="s">
        <v>280</v>
      </c>
      <c r="G105" s="224">
        <v>5</v>
      </c>
      <c r="H105" s="224">
        <f t="shared" si="1"/>
        <v>584.5</v>
      </c>
      <c r="I105" s="224">
        <v>115</v>
      </c>
      <c r="J105" s="224">
        <v>115</v>
      </c>
      <c r="K105" s="224">
        <v>1</v>
      </c>
      <c r="L105" s="224" t="s">
        <v>127</v>
      </c>
      <c r="M105" s="224" t="b">
        <v>0</v>
      </c>
      <c r="N105" s="225" t="s">
        <v>561</v>
      </c>
    </row>
    <row r="106" spans="1:14" ht="28.8" x14ac:dyDescent="0.3">
      <c r="A106" s="213" t="s">
        <v>449</v>
      </c>
      <c r="B106" s="214" t="s">
        <v>450</v>
      </c>
      <c r="C106" s="223" t="s">
        <v>342</v>
      </c>
      <c r="D106" s="214"/>
      <c r="E106" s="214"/>
      <c r="F106" s="223" t="s">
        <v>342</v>
      </c>
      <c r="G106" s="224">
        <v>5</v>
      </c>
      <c r="H106" s="224">
        <f t="shared" si="1"/>
        <v>702</v>
      </c>
      <c r="I106" s="224">
        <v>135</v>
      </c>
      <c r="J106" s="224">
        <v>115</v>
      </c>
      <c r="K106" s="224">
        <v>1</v>
      </c>
      <c r="L106" s="224" t="s">
        <v>127</v>
      </c>
      <c r="M106" s="224" t="b">
        <v>0</v>
      </c>
      <c r="N106" s="225" t="s">
        <v>561</v>
      </c>
    </row>
    <row r="107" spans="1:14" ht="28.8" x14ac:dyDescent="0.3">
      <c r="A107" s="213" t="s">
        <v>449</v>
      </c>
      <c r="B107" s="214" t="s">
        <v>450</v>
      </c>
      <c r="C107" s="223" t="s">
        <v>453</v>
      </c>
      <c r="D107" s="214"/>
      <c r="E107" s="214"/>
      <c r="F107" s="223" t="s">
        <v>453</v>
      </c>
      <c r="G107" s="224">
        <v>5</v>
      </c>
      <c r="H107" s="224">
        <f t="shared" si="1"/>
        <v>839.5</v>
      </c>
      <c r="I107" s="224">
        <v>150</v>
      </c>
      <c r="J107" s="224">
        <v>115</v>
      </c>
      <c r="K107" s="224">
        <v>1</v>
      </c>
      <c r="L107" s="224" t="s">
        <v>127</v>
      </c>
      <c r="M107" s="224" t="b">
        <v>0</v>
      </c>
      <c r="N107" s="225" t="s">
        <v>561</v>
      </c>
    </row>
    <row r="108" spans="1:14" ht="28.8" x14ac:dyDescent="0.3">
      <c r="A108" s="213" t="s">
        <v>449</v>
      </c>
      <c r="B108" s="214" t="s">
        <v>450</v>
      </c>
      <c r="C108" s="223" t="s">
        <v>45</v>
      </c>
      <c r="D108" s="214"/>
      <c r="E108" s="214"/>
      <c r="F108" s="223" t="s">
        <v>46</v>
      </c>
      <c r="G108" s="224">
        <v>5</v>
      </c>
      <c r="H108" s="224">
        <f t="shared" si="1"/>
        <v>992</v>
      </c>
      <c r="I108" s="224">
        <f>425*0.8</f>
        <v>340</v>
      </c>
      <c r="J108" s="224">
        <v>150</v>
      </c>
      <c r="K108" s="224">
        <v>7</v>
      </c>
      <c r="L108" s="224" t="s">
        <v>127</v>
      </c>
      <c r="M108" s="224" t="b">
        <v>0</v>
      </c>
      <c r="N108" s="225" t="s">
        <v>561</v>
      </c>
    </row>
    <row r="109" spans="1:14" ht="28.8" x14ac:dyDescent="0.3">
      <c r="A109" s="231" t="s">
        <v>274</v>
      </c>
      <c r="B109" s="232" t="s">
        <v>275</v>
      </c>
      <c r="C109" s="233" t="s">
        <v>34</v>
      </c>
      <c r="D109" s="232"/>
      <c r="E109" s="232"/>
      <c r="F109" s="233" t="s">
        <v>34</v>
      </c>
      <c r="G109" s="234">
        <v>5</v>
      </c>
      <c r="H109" s="234">
        <v>7</v>
      </c>
      <c r="I109" s="234">
        <v>115</v>
      </c>
      <c r="J109" s="234">
        <v>115</v>
      </c>
      <c r="K109" s="234">
        <v>2</v>
      </c>
      <c r="L109" s="234" t="s">
        <v>127</v>
      </c>
      <c r="M109" s="234" t="b">
        <v>1</v>
      </c>
      <c r="N109" s="235" t="s">
        <v>561</v>
      </c>
    </row>
    <row r="110" spans="1:14" ht="28.8" x14ac:dyDescent="0.3">
      <c r="A110" s="231" t="s">
        <v>274</v>
      </c>
      <c r="B110" s="232" t="s">
        <v>275</v>
      </c>
      <c r="C110" s="233" t="s">
        <v>35</v>
      </c>
      <c r="D110" s="232"/>
      <c r="E110" s="232"/>
      <c r="F110" s="233" t="s">
        <v>36</v>
      </c>
      <c r="G110" s="234">
        <v>5</v>
      </c>
      <c r="H110" s="234">
        <f>H109+I109+2.5</f>
        <v>124.5</v>
      </c>
      <c r="I110" s="234">
        <f>425*0.8</f>
        <v>340</v>
      </c>
      <c r="J110" s="234">
        <v>115</v>
      </c>
      <c r="K110" s="234">
        <v>6</v>
      </c>
      <c r="L110" s="234" t="s">
        <v>127</v>
      </c>
      <c r="M110" s="234" t="b">
        <v>1</v>
      </c>
      <c r="N110" s="235" t="s">
        <v>561</v>
      </c>
    </row>
    <row r="111" spans="1:14" ht="28.8" x14ac:dyDescent="0.3">
      <c r="A111" s="231" t="s">
        <v>274</v>
      </c>
      <c r="B111" s="232" t="s">
        <v>275</v>
      </c>
      <c r="C111" s="233" t="s">
        <v>279</v>
      </c>
      <c r="D111" s="232"/>
      <c r="E111" s="232"/>
      <c r="F111" s="233" t="s">
        <v>280</v>
      </c>
      <c r="G111" s="234">
        <v>5</v>
      </c>
      <c r="H111" s="234">
        <f>H110+I110+2.5</f>
        <v>467</v>
      </c>
      <c r="I111" s="234">
        <v>115</v>
      </c>
      <c r="J111" s="234">
        <v>115</v>
      </c>
      <c r="K111" s="234">
        <v>1</v>
      </c>
      <c r="L111" s="234" t="s">
        <v>127</v>
      </c>
      <c r="M111" s="234" t="b">
        <v>0</v>
      </c>
      <c r="N111" s="235" t="s">
        <v>561</v>
      </c>
    </row>
    <row r="112" spans="1:14" ht="28.8" x14ac:dyDescent="0.3">
      <c r="A112" s="246" t="s">
        <v>433</v>
      </c>
      <c r="B112" s="247" t="s">
        <v>434</v>
      </c>
      <c r="C112" s="248" t="s">
        <v>34</v>
      </c>
      <c r="D112" s="247"/>
      <c r="E112" s="247"/>
      <c r="F112" s="248" t="s">
        <v>34</v>
      </c>
      <c r="G112" s="249">
        <v>5</v>
      </c>
      <c r="H112" s="249">
        <v>7</v>
      </c>
      <c r="I112" s="249">
        <v>115</v>
      </c>
      <c r="J112" s="249">
        <v>115</v>
      </c>
      <c r="K112" s="249">
        <v>2</v>
      </c>
      <c r="L112" s="249" t="s">
        <v>127</v>
      </c>
      <c r="M112" s="249" t="b">
        <v>1</v>
      </c>
      <c r="N112" s="250" t="s">
        <v>561</v>
      </c>
    </row>
    <row r="113" spans="1:14" ht="28.8" x14ac:dyDescent="0.3">
      <c r="A113" s="246" t="s">
        <v>433</v>
      </c>
      <c r="B113" s="247" t="s">
        <v>434</v>
      </c>
      <c r="C113" s="248" t="s">
        <v>35</v>
      </c>
      <c r="D113" s="247"/>
      <c r="E113" s="247"/>
      <c r="F113" s="248" t="s">
        <v>36</v>
      </c>
      <c r="G113" s="249">
        <v>5</v>
      </c>
      <c r="H113" s="249">
        <f>H112+I112+2.5</f>
        <v>124.5</v>
      </c>
      <c r="I113" s="249">
        <f>425*0.8</f>
        <v>340</v>
      </c>
      <c r="J113" s="249">
        <v>115</v>
      </c>
      <c r="K113" s="249">
        <v>6</v>
      </c>
      <c r="L113" s="249" t="s">
        <v>127</v>
      </c>
      <c r="M113" s="249" t="b">
        <v>1</v>
      </c>
      <c r="N113" s="250" t="s">
        <v>561</v>
      </c>
    </row>
    <row r="114" spans="1:14" ht="28.8" x14ac:dyDescent="0.3">
      <c r="A114" s="246" t="s">
        <v>433</v>
      </c>
      <c r="B114" s="247" t="s">
        <v>434</v>
      </c>
      <c r="C114" s="248" t="s">
        <v>342</v>
      </c>
      <c r="D114" s="247"/>
      <c r="E114" s="247"/>
      <c r="F114" s="248" t="s">
        <v>342</v>
      </c>
      <c r="G114" s="249">
        <v>5</v>
      </c>
      <c r="H114" s="249">
        <f>H113+I113+2.5</f>
        <v>467</v>
      </c>
      <c r="I114" s="249">
        <v>135</v>
      </c>
      <c r="J114" s="249">
        <v>115</v>
      </c>
      <c r="K114" s="249">
        <v>1</v>
      </c>
      <c r="L114" s="249" t="s">
        <v>127</v>
      </c>
      <c r="M114" s="249" t="b">
        <v>1</v>
      </c>
      <c r="N114" s="250" t="s">
        <v>561</v>
      </c>
    </row>
    <row r="115" spans="1:14" ht="28.8" x14ac:dyDescent="0.3">
      <c r="A115" s="246" t="s">
        <v>433</v>
      </c>
      <c r="B115" s="247" t="s">
        <v>434</v>
      </c>
      <c r="C115" s="248" t="s">
        <v>45</v>
      </c>
      <c r="D115" s="247"/>
      <c r="E115" s="247"/>
      <c r="F115" s="248" t="s">
        <v>46</v>
      </c>
      <c r="G115" s="249">
        <v>5</v>
      </c>
      <c r="H115" s="249">
        <f>H114+I114+2.5</f>
        <v>604.5</v>
      </c>
      <c r="I115" s="249">
        <f>425*0.8</f>
        <v>340</v>
      </c>
      <c r="J115" s="249">
        <v>150</v>
      </c>
      <c r="K115" s="249">
        <v>7</v>
      </c>
      <c r="L115" s="249" t="s">
        <v>127</v>
      </c>
      <c r="M115" s="249" t="b">
        <v>0</v>
      </c>
      <c r="N115" s="250" t="s">
        <v>561</v>
      </c>
    </row>
    <row r="116" spans="1:14" ht="28.8" x14ac:dyDescent="0.3">
      <c r="A116" s="213" t="s">
        <v>435</v>
      </c>
      <c r="B116" s="214" t="s">
        <v>302</v>
      </c>
      <c r="C116" s="223" t="s">
        <v>34</v>
      </c>
      <c r="D116" s="214"/>
      <c r="E116" s="214"/>
      <c r="F116" s="223" t="s">
        <v>34</v>
      </c>
      <c r="G116" s="224">
        <v>5</v>
      </c>
      <c r="H116" s="224">
        <v>7</v>
      </c>
      <c r="I116" s="224">
        <v>115</v>
      </c>
      <c r="J116" s="224">
        <v>115</v>
      </c>
      <c r="K116" s="224">
        <v>2</v>
      </c>
      <c r="L116" s="224" t="s">
        <v>127</v>
      </c>
      <c r="M116" s="224" t="b">
        <v>1</v>
      </c>
      <c r="N116" s="225" t="s">
        <v>561</v>
      </c>
    </row>
    <row r="117" spans="1:14" ht="28.8" x14ac:dyDescent="0.3">
      <c r="A117" s="213" t="s">
        <v>435</v>
      </c>
      <c r="B117" s="214" t="s">
        <v>302</v>
      </c>
      <c r="C117" s="223" t="s">
        <v>35</v>
      </c>
      <c r="D117" s="214"/>
      <c r="E117" s="214"/>
      <c r="F117" s="223" t="s">
        <v>36</v>
      </c>
      <c r="G117" s="224">
        <v>5</v>
      </c>
      <c r="H117" s="224">
        <f>H116+I116+2.5</f>
        <v>124.5</v>
      </c>
      <c r="I117" s="224">
        <f>425*0.8</f>
        <v>340</v>
      </c>
      <c r="J117" s="224">
        <v>115</v>
      </c>
      <c r="K117" s="224">
        <v>6</v>
      </c>
      <c r="L117" s="224" t="s">
        <v>127</v>
      </c>
      <c r="M117" s="224" t="b">
        <v>1</v>
      </c>
      <c r="N117" s="225" t="s">
        <v>561</v>
      </c>
    </row>
    <row r="118" spans="1:14" ht="28.8" x14ac:dyDescent="0.3">
      <c r="A118" s="213" t="s">
        <v>435</v>
      </c>
      <c r="B118" s="214" t="s">
        <v>302</v>
      </c>
      <c r="C118" s="223" t="s">
        <v>342</v>
      </c>
      <c r="D118" s="214"/>
      <c r="E118" s="214"/>
      <c r="F118" s="223" t="s">
        <v>342</v>
      </c>
      <c r="G118" s="224">
        <v>5</v>
      </c>
      <c r="H118" s="224">
        <f>H117+I117+2.5</f>
        <v>467</v>
      </c>
      <c r="I118" s="224">
        <v>135</v>
      </c>
      <c r="J118" s="224">
        <v>115</v>
      </c>
      <c r="K118" s="224">
        <v>1</v>
      </c>
      <c r="L118" s="224" t="s">
        <v>127</v>
      </c>
      <c r="M118" s="224" t="b">
        <v>1</v>
      </c>
      <c r="N118" s="225" t="s">
        <v>561</v>
      </c>
    </row>
    <row r="119" spans="1:14" ht="28.8" x14ac:dyDescent="0.3">
      <c r="A119" s="213" t="s">
        <v>435</v>
      </c>
      <c r="B119" s="214" t="s">
        <v>302</v>
      </c>
      <c r="C119" s="223" t="s">
        <v>45</v>
      </c>
      <c r="D119" s="214"/>
      <c r="E119" s="214"/>
      <c r="F119" s="223" t="s">
        <v>46</v>
      </c>
      <c r="G119" s="224">
        <v>5</v>
      </c>
      <c r="H119" s="224">
        <f>H118+I118+2.5</f>
        <v>604.5</v>
      </c>
      <c r="I119" s="224">
        <f>425*0.8</f>
        <v>340</v>
      </c>
      <c r="J119" s="224">
        <v>150</v>
      </c>
      <c r="K119" s="224">
        <v>7</v>
      </c>
      <c r="L119" s="224" t="s">
        <v>127</v>
      </c>
      <c r="M119" s="224" t="b">
        <v>0</v>
      </c>
      <c r="N119" s="225" t="s">
        <v>561</v>
      </c>
    </row>
    <row r="120" spans="1:14" ht="28.8" x14ac:dyDescent="0.3">
      <c r="A120" s="231" t="s">
        <v>314</v>
      </c>
      <c r="B120" s="232" t="s">
        <v>309</v>
      </c>
      <c r="C120" s="233" t="s">
        <v>34</v>
      </c>
      <c r="D120" s="232"/>
      <c r="E120" s="232"/>
      <c r="F120" s="233" t="s">
        <v>34</v>
      </c>
      <c r="G120" s="234">
        <v>5</v>
      </c>
      <c r="H120" s="234">
        <v>7</v>
      </c>
      <c r="I120" s="234">
        <v>115</v>
      </c>
      <c r="J120" s="234">
        <v>115</v>
      </c>
      <c r="K120" s="234">
        <v>2</v>
      </c>
      <c r="L120" s="234" t="s">
        <v>127</v>
      </c>
      <c r="M120" s="234" t="b">
        <v>1</v>
      </c>
      <c r="N120" s="235" t="s">
        <v>561</v>
      </c>
    </row>
    <row r="121" spans="1:14" ht="28.8" x14ac:dyDescent="0.3">
      <c r="A121" s="231" t="s">
        <v>314</v>
      </c>
      <c r="B121" s="232" t="s">
        <v>309</v>
      </c>
      <c r="C121" s="233" t="s">
        <v>35</v>
      </c>
      <c r="D121" s="232"/>
      <c r="E121" s="232"/>
      <c r="F121" s="233" t="s">
        <v>36</v>
      </c>
      <c r="G121" s="234">
        <v>5</v>
      </c>
      <c r="H121" s="234">
        <f>H120+I120+2.5</f>
        <v>124.5</v>
      </c>
      <c r="I121" s="234">
        <f>425*0.8</f>
        <v>340</v>
      </c>
      <c r="J121" s="234">
        <v>115</v>
      </c>
      <c r="K121" s="234">
        <v>6</v>
      </c>
      <c r="L121" s="234" t="s">
        <v>127</v>
      </c>
      <c r="M121" s="234" t="b">
        <v>1</v>
      </c>
      <c r="N121" s="235" t="s">
        <v>561</v>
      </c>
    </row>
    <row r="122" spans="1:14" ht="28.8" x14ac:dyDescent="0.3">
      <c r="A122" s="231" t="s">
        <v>314</v>
      </c>
      <c r="B122" s="232" t="s">
        <v>309</v>
      </c>
      <c r="C122" s="233" t="s">
        <v>45</v>
      </c>
      <c r="D122" s="232"/>
      <c r="E122" s="232"/>
      <c r="F122" s="233" t="s">
        <v>46</v>
      </c>
      <c r="G122" s="234">
        <v>5</v>
      </c>
      <c r="H122" s="234">
        <f>H121+I121+2.5</f>
        <v>467</v>
      </c>
      <c r="I122" s="234">
        <f>425*0.8</f>
        <v>340</v>
      </c>
      <c r="J122" s="234">
        <v>150</v>
      </c>
      <c r="K122" s="234">
        <v>7</v>
      </c>
      <c r="L122" s="234" t="s">
        <v>127</v>
      </c>
      <c r="M122" s="234" t="b">
        <v>0</v>
      </c>
      <c r="N122" s="235" t="s">
        <v>561</v>
      </c>
    </row>
    <row r="123" spans="1:14" ht="28.8" x14ac:dyDescent="0.3">
      <c r="A123" s="213" t="s">
        <v>322</v>
      </c>
      <c r="B123" s="214" t="s">
        <v>323</v>
      </c>
      <c r="C123" s="223" t="s">
        <v>34</v>
      </c>
      <c r="D123" s="214"/>
      <c r="E123" s="214"/>
      <c r="F123" s="223" t="s">
        <v>34</v>
      </c>
      <c r="G123" s="224">
        <v>5</v>
      </c>
      <c r="H123" s="224">
        <v>7</v>
      </c>
      <c r="I123" s="224">
        <v>115</v>
      </c>
      <c r="J123" s="224">
        <v>115</v>
      </c>
      <c r="K123" s="224">
        <v>2</v>
      </c>
      <c r="L123" s="224" t="s">
        <v>127</v>
      </c>
      <c r="M123" s="224" t="b">
        <v>1</v>
      </c>
      <c r="N123" s="225" t="s">
        <v>561</v>
      </c>
    </row>
    <row r="124" spans="1:14" ht="28.8" x14ac:dyDescent="0.3">
      <c r="A124" s="213" t="s">
        <v>322</v>
      </c>
      <c r="B124" s="214" t="s">
        <v>323</v>
      </c>
      <c r="C124" s="223" t="s">
        <v>35</v>
      </c>
      <c r="D124" s="214"/>
      <c r="E124" s="214"/>
      <c r="F124" s="223" t="s">
        <v>36</v>
      </c>
      <c r="G124" s="224">
        <v>5</v>
      </c>
      <c r="H124" s="224">
        <f>H123+I123+2.5</f>
        <v>124.5</v>
      </c>
      <c r="I124" s="224">
        <f>425*0.8</f>
        <v>340</v>
      </c>
      <c r="J124" s="224">
        <v>115</v>
      </c>
      <c r="K124" s="224">
        <v>6</v>
      </c>
      <c r="L124" s="224" t="s">
        <v>127</v>
      </c>
      <c r="M124" s="224" t="b">
        <v>1</v>
      </c>
      <c r="N124" s="225" t="s">
        <v>561</v>
      </c>
    </row>
    <row r="125" spans="1:14" ht="28.8" x14ac:dyDescent="0.3">
      <c r="A125" s="213" t="s">
        <v>322</v>
      </c>
      <c r="B125" s="214" t="s">
        <v>323</v>
      </c>
      <c r="C125" s="223" t="s">
        <v>45</v>
      </c>
      <c r="D125" s="214"/>
      <c r="E125" s="214"/>
      <c r="F125" s="223" t="s">
        <v>46</v>
      </c>
      <c r="G125" s="224">
        <v>5</v>
      </c>
      <c r="H125" s="224">
        <f>H124+I124+2.5</f>
        <v>467</v>
      </c>
      <c r="I125" s="224">
        <f>425*0.8</f>
        <v>340</v>
      </c>
      <c r="J125" s="224">
        <v>150</v>
      </c>
      <c r="K125" s="224">
        <v>7</v>
      </c>
      <c r="L125" s="224" t="s">
        <v>127</v>
      </c>
      <c r="M125" s="224" t="b">
        <v>0</v>
      </c>
      <c r="N125" s="225" t="s">
        <v>561</v>
      </c>
    </row>
    <row r="126" spans="1:14" ht="28.8" x14ac:dyDescent="0.3">
      <c r="A126" s="246" t="s">
        <v>420</v>
      </c>
      <c r="B126" s="247" t="s">
        <v>421</v>
      </c>
      <c r="C126" s="248" t="s">
        <v>34</v>
      </c>
      <c r="D126" s="247"/>
      <c r="E126" s="247"/>
      <c r="F126" s="248" t="s">
        <v>34</v>
      </c>
      <c r="G126" s="249">
        <v>5</v>
      </c>
      <c r="H126" s="249">
        <v>7</v>
      </c>
      <c r="I126" s="249">
        <v>115</v>
      </c>
      <c r="J126" s="249">
        <v>115</v>
      </c>
      <c r="K126" s="249">
        <v>2</v>
      </c>
      <c r="L126" s="249" t="s">
        <v>127</v>
      </c>
      <c r="M126" s="249" t="b">
        <v>1</v>
      </c>
      <c r="N126" s="250" t="s">
        <v>561</v>
      </c>
    </row>
    <row r="127" spans="1:14" ht="28.8" x14ac:dyDescent="0.3">
      <c r="A127" s="246" t="s">
        <v>420</v>
      </c>
      <c r="B127" s="247" t="s">
        <v>421</v>
      </c>
      <c r="C127" s="248" t="s">
        <v>429</v>
      </c>
      <c r="D127" s="247"/>
      <c r="E127" s="247"/>
      <c r="F127" s="248" t="s">
        <v>425</v>
      </c>
      <c r="G127" s="249">
        <v>5</v>
      </c>
      <c r="H127" s="249">
        <f>H126+I126+2.5</f>
        <v>124.5</v>
      </c>
      <c r="I127" s="249">
        <v>350</v>
      </c>
      <c r="J127" s="249">
        <v>115</v>
      </c>
      <c r="K127" s="249">
        <v>2</v>
      </c>
      <c r="L127" s="249" t="s">
        <v>127</v>
      </c>
      <c r="M127" s="249" t="b">
        <v>1</v>
      </c>
      <c r="N127" s="250" t="s">
        <v>561</v>
      </c>
    </row>
    <row r="128" spans="1:14" ht="28.8" x14ac:dyDescent="0.3">
      <c r="A128" s="246" t="s">
        <v>420</v>
      </c>
      <c r="B128" s="247" t="s">
        <v>421</v>
      </c>
      <c r="C128" s="248" t="s">
        <v>342</v>
      </c>
      <c r="D128" s="247"/>
      <c r="E128" s="247"/>
      <c r="F128" s="248" t="s">
        <v>342</v>
      </c>
      <c r="G128" s="249">
        <v>5</v>
      </c>
      <c r="H128" s="249">
        <f>H127+I127+2.5</f>
        <v>477</v>
      </c>
      <c r="I128" s="249">
        <v>135</v>
      </c>
      <c r="J128" s="249">
        <v>115</v>
      </c>
      <c r="K128" s="249">
        <v>1</v>
      </c>
      <c r="L128" s="249" t="s">
        <v>127</v>
      </c>
      <c r="M128" s="249" t="b">
        <v>1</v>
      </c>
      <c r="N128" s="250" t="s">
        <v>561</v>
      </c>
    </row>
    <row r="129" spans="1:14" ht="28.8" x14ac:dyDescent="0.3">
      <c r="A129" s="246" t="s">
        <v>420</v>
      </c>
      <c r="B129" s="247" t="s">
        <v>421</v>
      </c>
      <c r="C129" s="248" t="s">
        <v>424</v>
      </c>
      <c r="D129" s="247"/>
      <c r="E129" s="247"/>
      <c r="F129" s="248" t="s">
        <v>424</v>
      </c>
      <c r="G129" s="249">
        <v>5</v>
      </c>
      <c r="H129" s="249">
        <f>H128+I128+2.5</f>
        <v>614.5</v>
      </c>
      <c r="I129" s="249">
        <f>425*0.8</f>
        <v>340</v>
      </c>
      <c r="J129" s="249">
        <v>115</v>
      </c>
      <c r="K129" s="249">
        <v>3</v>
      </c>
      <c r="L129" s="249" t="s">
        <v>127</v>
      </c>
      <c r="M129" s="249" t="b">
        <v>1</v>
      </c>
      <c r="N129" s="250" t="s">
        <v>561</v>
      </c>
    </row>
    <row r="130" spans="1:14" ht="28.8" x14ac:dyDescent="0.3">
      <c r="A130" s="246" t="s">
        <v>420</v>
      </c>
      <c r="B130" s="247" t="s">
        <v>421</v>
      </c>
      <c r="C130" s="248" t="s">
        <v>115</v>
      </c>
      <c r="D130" s="247"/>
      <c r="E130" s="247"/>
      <c r="F130" s="248" t="s">
        <v>115</v>
      </c>
      <c r="G130" s="249">
        <v>5</v>
      </c>
      <c r="H130" s="249">
        <f>H129+I129+2.5</f>
        <v>957</v>
      </c>
      <c r="I130" s="249">
        <v>135</v>
      </c>
      <c r="J130" s="249">
        <v>115</v>
      </c>
      <c r="K130" s="249">
        <v>1</v>
      </c>
      <c r="L130" s="249" t="s">
        <v>127</v>
      </c>
      <c r="M130" s="249" t="b">
        <v>0</v>
      </c>
      <c r="N130" s="250" t="s">
        <v>561</v>
      </c>
    </row>
    <row r="131" spans="1:14" ht="28.8" x14ac:dyDescent="0.3">
      <c r="A131" s="246" t="s">
        <v>420</v>
      </c>
      <c r="B131" s="247" t="s">
        <v>421</v>
      </c>
      <c r="C131" s="248" t="s">
        <v>35</v>
      </c>
      <c r="D131" s="247"/>
      <c r="E131" s="247"/>
      <c r="F131" s="248" t="s">
        <v>36</v>
      </c>
      <c r="G131" s="249">
        <v>5</v>
      </c>
      <c r="H131" s="249">
        <f>H130+I130+2.5</f>
        <v>1094.5</v>
      </c>
      <c r="I131" s="249">
        <f>425*0.8</f>
        <v>340</v>
      </c>
      <c r="J131" s="249">
        <v>115</v>
      </c>
      <c r="K131" s="249">
        <v>6</v>
      </c>
      <c r="L131" s="249" t="s">
        <v>127</v>
      </c>
      <c r="M131" s="249" t="b">
        <v>0</v>
      </c>
      <c r="N131" s="250" t="s">
        <v>561</v>
      </c>
    </row>
    <row r="132" spans="1:14" ht="28.8" x14ac:dyDescent="0.3">
      <c r="A132" s="231" t="s">
        <v>331</v>
      </c>
      <c r="B132" s="232" t="s">
        <v>332</v>
      </c>
      <c r="C132" s="233" t="s">
        <v>34</v>
      </c>
      <c r="D132" s="232"/>
      <c r="E132" s="232"/>
      <c r="F132" s="233" t="s">
        <v>34</v>
      </c>
      <c r="G132" s="234">
        <v>5</v>
      </c>
      <c r="H132" s="234">
        <v>7</v>
      </c>
      <c r="I132" s="234">
        <v>115</v>
      </c>
      <c r="J132" s="234">
        <v>115</v>
      </c>
      <c r="K132" s="234">
        <v>2</v>
      </c>
      <c r="L132" s="234" t="s">
        <v>127</v>
      </c>
      <c r="M132" s="234" t="b">
        <v>1</v>
      </c>
      <c r="N132" s="235" t="s">
        <v>561</v>
      </c>
    </row>
    <row r="133" spans="1:14" ht="28.8" x14ac:dyDescent="0.3">
      <c r="A133" s="231" t="s">
        <v>331</v>
      </c>
      <c r="B133" s="232" t="s">
        <v>332</v>
      </c>
      <c r="C133" s="233" t="s">
        <v>342</v>
      </c>
      <c r="D133" s="232"/>
      <c r="E133" s="232"/>
      <c r="F133" s="233" t="s">
        <v>342</v>
      </c>
      <c r="G133" s="234">
        <v>5</v>
      </c>
      <c r="H133" s="234">
        <f>H132+I132+2.5</f>
        <v>124.5</v>
      </c>
      <c r="I133" s="234">
        <v>135</v>
      </c>
      <c r="J133" s="234">
        <v>115</v>
      </c>
      <c r="K133" s="234">
        <v>1</v>
      </c>
      <c r="L133" s="234" t="s">
        <v>127</v>
      </c>
      <c r="M133" s="234" t="b">
        <v>1</v>
      </c>
      <c r="N133" s="235" t="s">
        <v>561</v>
      </c>
    </row>
    <row r="134" spans="1:14" ht="28.8" x14ac:dyDescent="0.3">
      <c r="A134" s="231" t="s">
        <v>331</v>
      </c>
      <c r="B134" s="232" t="s">
        <v>332</v>
      </c>
      <c r="C134" s="233" t="s">
        <v>7</v>
      </c>
      <c r="D134" s="232"/>
      <c r="E134" s="232"/>
      <c r="F134" s="233" t="s">
        <v>7</v>
      </c>
      <c r="G134" s="234">
        <v>5</v>
      </c>
      <c r="H134" s="234">
        <f>H133+I133+2.5</f>
        <v>262</v>
      </c>
      <c r="I134" s="234">
        <v>135</v>
      </c>
      <c r="J134" s="234">
        <v>115</v>
      </c>
      <c r="K134" s="234">
        <v>1</v>
      </c>
      <c r="L134" s="234" t="s">
        <v>127</v>
      </c>
      <c r="M134" s="234" t="b">
        <v>1</v>
      </c>
      <c r="N134" s="235" t="s">
        <v>561</v>
      </c>
    </row>
    <row r="135" spans="1:14" ht="28.8" x14ac:dyDescent="0.3">
      <c r="A135" s="231" t="s">
        <v>331</v>
      </c>
      <c r="B135" s="232" t="s">
        <v>332</v>
      </c>
      <c r="C135" s="233" t="s">
        <v>35</v>
      </c>
      <c r="D135" s="232"/>
      <c r="E135" s="232"/>
      <c r="F135" s="233" t="s">
        <v>36</v>
      </c>
      <c r="G135" s="234">
        <v>5</v>
      </c>
      <c r="H135" s="234">
        <f>H134+I134+2.5</f>
        <v>399.5</v>
      </c>
      <c r="I135" s="234">
        <f>425*0.8</f>
        <v>340</v>
      </c>
      <c r="J135" s="234">
        <v>115</v>
      </c>
      <c r="K135" s="234">
        <v>6</v>
      </c>
      <c r="L135" s="234" t="s">
        <v>127</v>
      </c>
      <c r="M135" s="234" t="b">
        <v>1</v>
      </c>
      <c r="N135" s="235" t="s">
        <v>561</v>
      </c>
    </row>
    <row r="136" spans="1:14" ht="28.8" x14ac:dyDescent="0.3">
      <c r="A136" s="231" t="s">
        <v>331</v>
      </c>
      <c r="B136" s="232" t="s">
        <v>332</v>
      </c>
      <c r="C136" s="233" t="s">
        <v>45</v>
      </c>
      <c r="D136" s="232"/>
      <c r="E136" s="232"/>
      <c r="F136" s="233" t="s">
        <v>46</v>
      </c>
      <c r="G136" s="234">
        <v>5</v>
      </c>
      <c r="H136" s="234">
        <f>H135+I135+2.5</f>
        <v>742</v>
      </c>
      <c r="I136" s="234">
        <f>425*0.8</f>
        <v>340</v>
      </c>
      <c r="J136" s="234">
        <v>150</v>
      </c>
      <c r="K136" s="234">
        <v>7</v>
      </c>
      <c r="L136" s="234" t="s">
        <v>127</v>
      </c>
      <c r="M136" s="234" t="b">
        <v>0</v>
      </c>
      <c r="N136" s="235" t="s">
        <v>561</v>
      </c>
    </row>
    <row r="137" spans="1:14" ht="28.8" x14ac:dyDescent="0.3">
      <c r="A137" s="231" t="s">
        <v>331</v>
      </c>
      <c r="B137" s="232" t="s">
        <v>332</v>
      </c>
      <c r="C137" s="233" t="s">
        <v>594</v>
      </c>
      <c r="D137" s="232"/>
      <c r="E137" s="232"/>
      <c r="F137" s="233" t="s">
        <v>594</v>
      </c>
      <c r="G137" s="234">
        <v>5</v>
      </c>
      <c r="H137" s="234">
        <f>H136+I136+2.5</f>
        <v>1084.5</v>
      </c>
      <c r="I137" s="234">
        <f>425*0.8</f>
        <v>340</v>
      </c>
      <c r="J137" s="234">
        <v>450</v>
      </c>
      <c r="K137" s="234">
        <v>2</v>
      </c>
      <c r="L137" s="234" t="s">
        <v>127</v>
      </c>
      <c r="M137" s="234" t="b">
        <v>0</v>
      </c>
      <c r="N137" s="235" t="s">
        <v>561</v>
      </c>
    </row>
    <row r="138" spans="1:14" x14ac:dyDescent="0.3">
      <c r="A138" s="213" t="s">
        <v>351</v>
      </c>
      <c r="B138" s="214" t="s">
        <v>352</v>
      </c>
      <c r="C138" s="223" t="s">
        <v>34</v>
      </c>
      <c r="D138" s="214"/>
      <c r="E138" s="214"/>
      <c r="F138" s="223" t="s">
        <v>34</v>
      </c>
      <c r="G138" s="224">
        <v>5</v>
      </c>
      <c r="H138" s="224">
        <v>7</v>
      </c>
      <c r="I138" s="224">
        <v>115</v>
      </c>
      <c r="J138" s="224">
        <v>115</v>
      </c>
      <c r="K138" s="224">
        <v>2</v>
      </c>
      <c r="L138" s="224" t="s">
        <v>127</v>
      </c>
      <c r="M138" s="224" t="b">
        <v>1</v>
      </c>
      <c r="N138" s="225" t="s">
        <v>562</v>
      </c>
    </row>
    <row r="139" spans="1:14" x14ac:dyDescent="0.3">
      <c r="A139" s="213" t="s">
        <v>351</v>
      </c>
      <c r="B139" s="214" t="s">
        <v>352</v>
      </c>
      <c r="C139" s="223" t="s">
        <v>342</v>
      </c>
      <c r="D139" s="214"/>
      <c r="E139" s="214"/>
      <c r="F139" s="223" t="s">
        <v>342</v>
      </c>
      <c r="G139" s="224">
        <v>5</v>
      </c>
      <c r="H139" s="224">
        <f>H138+I138+2.5</f>
        <v>124.5</v>
      </c>
      <c r="I139" s="224">
        <v>135</v>
      </c>
      <c r="J139" s="224">
        <v>115</v>
      </c>
      <c r="K139" s="224">
        <v>1</v>
      </c>
      <c r="L139" s="224" t="s">
        <v>127</v>
      </c>
      <c r="M139" s="224" t="b">
        <v>1</v>
      </c>
      <c r="N139" s="225" t="s">
        <v>562</v>
      </c>
    </row>
    <row r="140" spans="1:14" ht="28.8" x14ac:dyDescent="0.3">
      <c r="A140" s="213" t="s">
        <v>351</v>
      </c>
      <c r="B140" s="214" t="s">
        <v>352</v>
      </c>
      <c r="C140" s="223" t="s">
        <v>358</v>
      </c>
      <c r="D140" s="214"/>
      <c r="E140" s="214"/>
      <c r="F140" s="223" t="s">
        <v>109</v>
      </c>
      <c r="G140" s="224">
        <v>5</v>
      </c>
      <c r="H140" s="224">
        <f>H139+I139+2.5</f>
        <v>262</v>
      </c>
      <c r="I140" s="224">
        <v>135</v>
      </c>
      <c r="J140" s="224">
        <v>115</v>
      </c>
      <c r="K140" s="224">
        <v>1</v>
      </c>
      <c r="L140" s="224" t="s">
        <v>127</v>
      </c>
      <c r="M140" s="224" t="b">
        <v>1</v>
      </c>
      <c r="N140" s="225" t="s">
        <v>562</v>
      </c>
    </row>
    <row r="141" spans="1:14" x14ac:dyDescent="0.3">
      <c r="A141" s="213" t="s">
        <v>351</v>
      </c>
      <c r="B141" s="214" t="s">
        <v>352</v>
      </c>
      <c r="C141" s="223" t="s">
        <v>35</v>
      </c>
      <c r="D141" s="214"/>
      <c r="E141" s="214"/>
      <c r="F141" s="223" t="s">
        <v>36</v>
      </c>
      <c r="G141" s="224">
        <v>5</v>
      </c>
      <c r="H141" s="224">
        <f>H140+I140+2.5</f>
        <v>399.5</v>
      </c>
      <c r="I141" s="224">
        <f>425*0.8</f>
        <v>340</v>
      </c>
      <c r="J141" s="224">
        <v>115</v>
      </c>
      <c r="K141" s="224">
        <v>6</v>
      </c>
      <c r="L141" s="224" t="s">
        <v>127</v>
      </c>
      <c r="M141" s="224" t="b">
        <v>0</v>
      </c>
      <c r="N141" s="225" t="s">
        <v>562</v>
      </c>
    </row>
    <row r="142" spans="1:14" x14ac:dyDescent="0.3">
      <c r="A142" s="213" t="s">
        <v>351</v>
      </c>
      <c r="B142" s="214" t="s">
        <v>352</v>
      </c>
      <c r="C142" s="223" t="s">
        <v>373</v>
      </c>
      <c r="D142" s="214"/>
      <c r="E142" s="214"/>
      <c r="F142" s="223" t="s">
        <v>373</v>
      </c>
      <c r="G142" s="224">
        <v>5</v>
      </c>
      <c r="H142" s="224">
        <f>H141+I141+2.5</f>
        <v>742</v>
      </c>
      <c r="I142" s="224">
        <v>115</v>
      </c>
      <c r="J142" s="224">
        <v>115</v>
      </c>
      <c r="K142" s="224">
        <v>2</v>
      </c>
      <c r="L142" s="224" t="s">
        <v>127</v>
      </c>
      <c r="M142" s="224" t="b">
        <v>0</v>
      </c>
      <c r="N142" s="225" t="s">
        <v>562</v>
      </c>
    </row>
    <row r="143" spans="1:14" x14ac:dyDescent="0.3">
      <c r="A143" s="213" t="s">
        <v>351</v>
      </c>
      <c r="B143" s="214" t="s">
        <v>352</v>
      </c>
      <c r="C143" s="223" t="s">
        <v>116</v>
      </c>
      <c r="D143" s="214"/>
      <c r="E143" s="214"/>
      <c r="F143" s="223" t="s">
        <v>116</v>
      </c>
      <c r="G143" s="224">
        <v>5</v>
      </c>
      <c r="H143" s="224">
        <f>H142+I142+2.5</f>
        <v>859.5</v>
      </c>
      <c r="I143" s="224">
        <v>500</v>
      </c>
      <c r="J143" s="224">
        <v>115</v>
      </c>
      <c r="K143" s="224">
        <v>1</v>
      </c>
      <c r="L143" s="224" t="s">
        <v>127</v>
      </c>
      <c r="M143" s="224" t="b">
        <v>0</v>
      </c>
      <c r="N143" s="225" t="s">
        <v>562</v>
      </c>
    </row>
    <row r="144" spans="1:14" x14ac:dyDescent="0.3">
      <c r="A144" s="213" t="s">
        <v>351</v>
      </c>
      <c r="B144" s="214" t="s">
        <v>352</v>
      </c>
      <c r="C144" s="223" t="s">
        <v>45</v>
      </c>
      <c r="D144" s="214"/>
      <c r="E144" s="214"/>
      <c r="F144" s="223" t="s">
        <v>46</v>
      </c>
      <c r="G144" s="224">
        <f>G143+J143+5</f>
        <v>125</v>
      </c>
      <c r="H144" s="224">
        <f>H143+I143/4</f>
        <v>984.5</v>
      </c>
      <c r="I144" s="224">
        <f>425*0.8</f>
        <v>340</v>
      </c>
      <c r="J144" s="224">
        <v>150</v>
      </c>
      <c r="K144" s="224">
        <v>7</v>
      </c>
      <c r="L144" s="224" t="s">
        <v>127</v>
      </c>
      <c r="M144" s="224" t="b">
        <v>0</v>
      </c>
      <c r="N144" s="225" t="s">
        <v>60</v>
      </c>
    </row>
    <row r="145" spans="1:14" ht="28.8" x14ac:dyDescent="0.3">
      <c r="A145" s="231" t="s">
        <v>398</v>
      </c>
      <c r="B145" s="232" t="s">
        <v>399</v>
      </c>
      <c r="C145" s="233" t="s">
        <v>34</v>
      </c>
      <c r="D145" s="232"/>
      <c r="E145" s="232"/>
      <c r="F145" s="233" t="s">
        <v>34</v>
      </c>
      <c r="G145" s="234">
        <v>5</v>
      </c>
      <c r="H145" s="234">
        <v>7</v>
      </c>
      <c r="I145" s="234">
        <v>115</v>
      </c>
      <c r="J145" s="234">
        <v>115</v>
      </c>
      <c r="K145" s="234">
        <v>2</v>
      </c>
      <c r="L145" s="234" t="s">
        <v>127</v>
      </c>
      <c r="M145" s="234" t="b">
        <v>1</v>
      </c>
      <c r="N145" s="235" t="s">
        <v>562</v>
      </c>
    </row>
    <row r="146" spans="1:14" ht="28.8" x14ac:dyDescent="0.3">
      <c r="A146" s="231" t="s">
        <v>398</v>
      </c>
      <c r="B146" s="232" t="s">
        <v>399</v>
      </c>
      <c r="C146" s="233" t="s">
        <v>342</v>
      </c>
      <c r="D146" s="232"/>
      <c r="E146" s="232"/>
      <c r="F146" s="233" t="s">
        <v>342</v>
      </c>
      <c r="G146" s="234">
        <v>5</v>
      </c>
      <c r="H146" s="234">
        <f>H145+I145+2.5</f>
        <v>124.5</v>
      </c>
      <c r="I146" s="234">
        <v>135</v>
      </c>
      <c r="J146" s="234">
        <v>115</v>
      </c>
      <c r="K146" s="234">
        <v>1</v>
      </c>
      <c r="L146" s="234" t="s">
        <v>127</v>
      </c>
      <c r="M146" s="234" t="b">
        <v>1</v>
      </c>
      <c r="N146" s="235" t="s">
        <v>562</v>
      </c>
    </row>
    <row r="147" spans="1:14" ht="28.8" x14ac:dyDescent="0.3">
      <c r="A147" s="231" t="s">
        <v>398</v>
      </c>
      <c r="B147" s="232" t="s">
        <v>399</v>
      </c>
      <c r="C147" s="233" t="s">
        <v>413</v>
      </c>
      <c r="D147" s="232"/>
      <c r="E147" s="232"/>
      <c r="F147" s="233" t="s">
        <v>413</v>
      </c>
      <c r="G147" s="234">
        <v>5</v>
      </c>
      <c r="H147" s="234">
        <f>H146+I146+2.5</f>
        <v>262</v>
      </c>
      <c r="I147" s="234">
        <v>135</v>
      </c>
      <c r="J147" s="234">
        <v>115</v>
      </c>
      <c r="K147" s="234">
        <v>1</v>
      </c>
      <c r="L147" s="234" t="s">
        <v>127</v>
      </c>
      <c r="M147" s="234" t="b">
        <v>1</v>
      </c>
      <c r="N147" s="235" t="s">
        <v>562</v>
      </c>
    </row>
    <row r="148" spans="1:14" ht="28.8" x14ac:dyDescent="0.3">
      <c r="A148" s="231" t="s">
        <v>398</v>
      </c>
      <c r="B148" s="232" t="s">
        <v>399</v>
      </c>
      <c r="C148" s="233" t="s">
        <v>35</v>
      </c>
      <c r="D148" s="232"/>
      <c r="E148" s="232"/>
      <c r="F148" s="233" t="s">
        <v>36</v>
      </c>
      <c r="G148" s="234">
        <v>5</v>
      </c>
      <c r="H148" s="234">
        <f>H147+I147+2.5</f>
        <v>399.5</v>
      </c>
      <c r="I148" s="234">
        <f>425*0.8</f>
        <v>340</v>
      </c>
      <c r="J148" s="234">
        <v>115</v>
      </c>
      <c r="K148" s="234">
        <v>6</v>
      </c>
      <c r="L148" s="234" t="s">
        <v>127</v>
      </c>
      <c r="M148" s="234" t="b">
        <v>1</v>
      </c>
      <c r="N148" s="235" t="s">
        <v>562</v>
      </c>
    </row>
    <row r="149" spans="1:14" ht="28.8" x14ac:dyDescent="0.3">
      <c r="A149" s="231" t="s">
        <v>398</v>
      </c>
      <c r="B149" s="232" t="s">
        <v>399</v>
      </c>
      <c r="C149" s="233" t="s">
        <v>45</v>
      </c>
      <c r="D149" s="232"/>
      <c r="E149" s="232"/>
      <c r="F149" s="233" t="s">
        <v>46</v>
      </c>
      <c r="G149" s="234">
        <v>5</v>
      </c>
      <c r="H149" s="234">
        <f>H148+I148+2.5</f>
        <v>742</v>
      </c>
      <c r="I149" s="234">
        <f>425*0.8</f>
        <v>340</v>
      </c>
      <c r="J149" s="234">
        <v>150</v>
      </c>
      <c r="K149" s="234">
        <v>7</v>
      </c>
      <c r="L149" s="234" t="s">
        <v>127</v>
      </c>
      <c r="M149" s="234" t="b">
        <v>0</v>
      </c>
      <c r="N149" s="235" t="s">
        <v>60</v>
      </c>
    </row>
    <row r="150" spans="1:14" ht="28.8" x14ac:dyDescent="0.3">
      <c r="A150" s="213" t="s">
        <v>416</v>
      </c>
      <c r="B150" s="214" t="s">
        <v>417</v>
      </c>
      <c r="C150" s="223" t="s">
        <v>34</v>
      </c>
      <c r="D150" s="214"/>
      <c r="E150" s="214"/>
      <c r="F150" s="223" t="s">
        <v>34</v>
      </c>
      <c r="G150" s="224">
        <v>5</v>
      </c>
      <c r="H150" s="224">
        <v>7</v>
      </c>
      <c r="I150" s="224">
        <v>115</v>
      </c>
      <c r="J150" s="224">
        <v>115</v>
      </c>
      <c r="K150" s="224">
        <v>2</v>
      </c>
      <c r="L150" s="224" t="s">
        <v>127</v>
      </c>
      <c r="M150" s="224" t="b">
        <v>1</v>
      </c>
      <c r="N150" s="225" t="s">
        <v>562</v>
      </c>
    </row>
    <row r="151" spans="1:14" ht="28.8" x14ac:dyDescent="0.3">
      <c r="A151" s="213" t="s">
        <v>416</v>
      </c>
      <c r="B151" s="214" t="s">
        <v>417</v>
      </c>
      <c r="C151" s="223" t="s">
        <v>342</v>
      </c>
      <c r="D151" s="214"/>
      <c r="E151" s="214"/>
      <c r="F151" s="223" t="s">
        <v>342</v>
      </c>
      <c r="G151" s="224">
        <v>5</v>
      </c>
      <c r="H151" s="224">
        <f>H150+I150+2.5</f>
        <v>124.5</v>
      </c>
      <c r="I151" s="224">
        <v>135</v>
      </c>
      <c r="J151" s="224">
        <v>115</v>
      </c>
      <c r="K151" s="224">
        <v>1</v>
      </c>
      <c r="L151" s="224" t="s">
        <v>127</v>
      </c>
      <c r="M151" s="224" t="b">
        <v>1</v>
      </c>
      <c r="N151" s="225" t="s">
        <v>562</v>
      </c>
    </row>
    <row r="152" spans="1:14" ht="28.8" x14ac:dyDescent="0.3">
      <c r="A152" s="213" t="s">
        <v>416</v>
      </c>
      <c r="B152" s="214" t="s">
        <v>417</v>
      </c>
      <c r="C152" s="223" t="s">
        <v>35</v>
      </c>
      <c r="D152" s="214"/>
      <c r="E152" s="214"/>
      <c r="F152" s="223" t="s">
        <v>36</v>
      </c>
      <c r="G152" s="224">
        <v>5</v>
      </c>
      <c r="H152" s="224">
        <f>H151+I151+2.5</f>
        <v>262</v>
      </c>
      <c r="I152" s="224">
        <f>425*0.8</f>
        <v>340</v>
      </c>
      <c r="J152" s="224">
        <v>115</v>
      </c>
      <c r="K152" s="224">
        <v>6</v>
      </c>
      <c r="L152" s="224" t="s">
        <v>127</v>
      </c>
      <c r="M152" s="224" t="b">
        <v>1</v>
      </c>
      <c r="N152" s="225" t="s">
        <v>562</v>
      </c>
    </row>
    <row r="153" spans="1:14" ht="28.8" x14ac:dyDescent="0.3">
      <c r="A153" s="213" t="s">
        <v>416</v>
      </c>
      <c r="B153" s="214" t="s">
        <v>417</v>
      </c>
      <c r="C153" s="223" t="s">
        <v>45</v>
      </c>
      <c r="D153" s="214"/>
      <c r="E153" s="214"/>
      <c r="F153" s="223" t="s">
        <v>46</v>
      </c>
      <c r="G153" s="224">
        <v>5</v>
      </c>
      <c r="H153" s="224">
        <f>H152+I152+2.5</f>
        <v>604.5</v>
      </c>
      <c r="I153" s="224">
        <f>425*0.8</f>
        <v>340</v>
      </c>
      <c r="J153" s="224">
        <v>150</v>
      </c>
      <c r="K153" s="224">
        <v>7</v>
      </c>
      <c r="L153" s="224" t="s">
        <v>127</v>
      </c>
      <c r="M153" s="224" t="b">
        <v>0</v>
      </c>
      <c r="N153" s="225" t="s">
        <v>562</v>
      </c>
    </row>
    <row r="154" spans="1:14" x14ac:dyDescent="0.3">
      <c r="A154" s="231" t="s">
        <v>497</v>
      </c>
      <c r="B154" s="232" t="s">
        <v>498</v>
      </c>
      <c r="C154" s="233" t="s">
        <v>34</v>
      </c>
      <c r="D154" s="232"/>
      <c r="E154" s="232"/>
      <c r="F154" s="233" t="s">
        <v>34</v>
      </c>
      <c r="G154" s="234">
        <v>5</v>
      </c>
      <c r="H154" s="234">
        <v>7</v>
      </c>
      <c r="I154" s="234">
        <v>115</v>
      </c>
      <c r="J154" s="234">
        <v>115</v>
      </c>
      <c r="K154" s="234">
        <v>2</v>
      </c>
      <c r="L154" s="234" t="s">
        <v>127</v>
      </c>
      <c r="M154" s="234" t="b">
        <v>1</v>
      </c>
      <c r="N154" s="235" t="s">
        <v>562</v>
      </c>
    </row>
    <row r="155" spans="1:14" x14ac:dyDescent="0.3">
      <c r="A155" s="231" t="s">
        <v>497</v>
      </c>
      <c r="B155" s="232" t="s">
        <v>498</v>
      </c>
      <c r="C155" s="233" t="s">
        <v>342</v>
      </c>
      <c r="D155" s="232"/>
      <c r="E155" s="232"/>
      <c r="F155" s="233" t="s">
        <v>342</v>
      </c>
      <c r="G155" s="234">
        <v>5</v>
      </c>
      <c r="H155" s="234">
        <f>H154+I154+2.5</f>
        <v>124.5</v>
      </c>
      <c r="I155" s="234">
        <v>135</v>
      </c>
      <c r="J155" s="234">
        <v>115</v>
      </c>
      <c r="K155" s="234">
        <v>1</v>
      </c>
      <c r="L155" s="234" t="s">
        <v>127</v>
      </c>
      <c r="M155" s="234" t="b">
        <v>1</v>
      </c>
      <c r="N155" s="235" t="s">
        <v>562</v>
      </c>
    </row>
    <row r="156" spans="1:14" ht="28.8" x14ac:dyDescent="0.3">
      <c r="A156" s="231" t="s">
        <v>497</v>
      </c>
      <c r="B156" s="232" t="s">
        <v>498</v>
      </c>
      <c r="C156" s="233" t="s">
        <v>481</v>
      </c>
      <c r="D156" s="232"/>
      <c r="E156" s="232"/>
      <c r="F156" s="233" t="s">
        <v>481</v>
      </c>
      <c r="G156" s="234">
        <v>5</v>
      </c>
      <c r="H156" s="234">
        <f>H155+I155+2.5</f>
        <v>262</v>
      </c>
      <c r="I156" s="234">
        <v>400</v>
      </c>
      <c r="J156" s="234">
        <v>115</v>
      </c>
      <c r="K156" s="234">
        <v>2</v>
      </c>
      <c r="L156" s="234" t="s">
        <v>127</v>
      </c>
      <c r="M156" s="234" t="b">
        <v>1</v>
      </c>
      <c r="N156" s="235" t="s">
        <v>562</v>
      </c>
    </row>
    <row r="157" spans="1:14" x14ac:dyDescent="0.3">
      <c r="A157" s="231" t="s">
        <v>497</v>
      </c>
      <c r="B157" s="232" t="s">
        <v>498</v>
      </c>
      <c r="C157" s="233" t="s">
        <v>36</v>
      </c>
      <c r="D157" s="232"/>
      <c r="E157" s="232"/>
      <c r="F157" s="233" t="s">
        <v>36</v>
      </c>
      <c r="G157" s="234">
        <v>5</v>
      </c>
      <c r="H157" s="234">
        <f>H156+I156+2.5</f>
        <v>664.5</v>
      </c>
      <c r="I157" s="234">
        <v>400</v>
      </c>
      <c r="J157" s="234">
        <v>115</v>
      </c>
      <c r="K157" s="234">
        <v>6</v>
      </c>
      <c r="L157" s="234" t="s">
        <v>127</v>
      </c>
      <c r="M157" s="234" t="b">
        <v>1</v>
      </c>
      <c r="N157" s="235" t="s">
        <v>562</v>
      </c>
    </row>
    <row r="158" spans="1:14" x14ac:dyDescent="0.3">
      <c r="A158" s="231" t="s">
        <v>497</v>
      </c>
      <c r="B158" s="232" t="s">
        <v>498</v>
      </c>
      <c r="C158" s="233" t="s">
        <v>45</v>
      </c>
      <c r="D158" s="232"/>
      <c r="E158" s="232"/>
      <c r="F158" s="233" t="s">
        <v>46</v>
      </c>
      <c r="G158" s="234">
        <v>5</v>
      </c>
      <c r="H158" s="234">
        <f>H157+I157+2.5</f>
        <v>1067</v>
      </c>
      <c r="I158" s="234">
        <v>400</v>
      </c>
      <c r="J158" s="234">
        <v>115</v>
      </c>
      <c r="K158" s="234">
        <v>10</v>
      </c>
      <c r="L158" s="234" t="s">
        <v>127</v>
      </c>
      <c r="M158" s="234" t="b">
        <v>0</v>
      </c>
      <c r="N158" s="235" t="s">
        <v>562</v>
      </c>
    </row>
    <row r="159" spans="1:14" x14ac:dyDescent="0.3">
      <c r="A159" s="213" t="s">
        <v>499</v>
      </c>
      <c r="B159" s="214" t="s">
        <v>500</v>
      </c>
      <c r="C159" s="223" t="s">
        <v>34</v>
      </c>
      <c r="D159" s="214"/>
      <c r="E159" s="214"/>
      <c r="F159" s="223" t="s">
        <v>34</v>
      </c>
      <c r="G159" s="224">
        <v>5</v>
      </c>
      <c r="H159" s="224">
        <v>7</v>
      </c>
      <c r="I159" s="224">
        <v>115</v>
      </c>
      <c r="J159" s="224">
        <v>115</v>
      </c>
      <c r="K159" s="224">
        <v>2</v>
      </c>
      <c r="L159" s="224" t="s">
        <v>127</v>
      </c>
      <c r="M159" s="224" t="b">
        <v>1</v>
      </c>
      <c r="N159" s="225" t="s">
        <v>562</v>
      </c>
    </row>
    <row r="160" spans="1:14" x14ac:dyDescent="0.3">
      <c r="A160" s="213" t="s">
        <v>499</v>
      </c>
      <c r="B160" s="214" t="s">
        <v>500</v>
      </c>
      <c r="C160" s="223" t="s">
        <v>342</v>
      </c>
      <c r="D160" s="214"/>
      <c r="E160" s="214"/>
      <c r="F160" s="223" t="s">
        <v>342</v>
      </c>
      <c r="G160" s="224">
        <v>5</v>
      </c>
      <c r="H160" s="224">
        <f>H159+I159+2.5</f>
        <v>124.5</v>
      </c>
      <c r="I160" s="224">
        <v>135</v>
      </c>
      <c r="J160" s="224">
        <v>115</v>
      </c>
      <c r="K160" s="224">
        <v>1</v>
      </c>
      <c r="L160" s="224" t="s">
        <v>127</v>
      </c>
      <c r="M160" s="224" t="b">
        <v>1</v>
      </c>
      <c r="N160" s="225" t="s">
        <v>562</v>
      </c>
    </row>
    <row r="161" spans="1:14" ht="28.8" x14ac:dyDescent="0.3">
      <c r="A161" s="213" t="s">
        <v>499</v>
      </c>
      <c r="B161" s="214" t="s">
        <v>500</v>
      </c>
      <c r="C161" s="223" t="s">
        <v>481</v>
      </c>
      <c r="D161" s="214"/>
      <c r="E161" s="214"/>
      <c r="F161" s="223" t="s">
        <v>481</v>
      </c>
      <c r="G161" s="224">
        <v>5</v>
      </c>
      <c r="H161" s="224">
        <f>H160+I160+2.5</f>
        <v>262</v>
      </c>
      <c r="I161" s="224">
        <v>400</v>
      </c>
      <c r="J161" s="224">
        <v>115</v>
      </c>
      <c r="K161" s="224">
        <v>2</v>
      </c>
      <c r="L161" s="224" t="s">
        <v>127</v>
      </c>
      <c r="M161" s="224" t="b">
        <v>1</v>
      </c>
      <c r="N161" s="225" t="s">
        <v>562</v>
      </c>
    </row>
    <row r="162" spans="1:14" x14ac:dyDescent="0.3">
      <c r="A162" s="213" t="s">
        <v>499</v>
      </c>
      <c r="B162" s="214" t="s">
        <v>500</v>
      </c>
      <c r="C162" s="223" t="s">
        <v>36</v>
      </c>
      <c r="D162" s="214"/>
      <c r="E162" s="214"/>
      <c r="F162" s="223" t="s">
        <v>36</v>
      </c>
      <c r="G162" s="224">
        <v>5</v>
      </c>
      <c r="H162" s="224">
        <f>H161+I161+2.5</f>
        <v>664.5</v>
      </c>
      <c r="I162" s="224">
        <v>400</v>
      </c>
      <c r="J162" s="224">
        <v>115</v>
      </c>
      <c r="K162" s="224">
        <v>6</v>
      </c>
      <c r="L162" s="224" t="s">
        <v>127</v>
      </c>
      <c r="M162" s="224" t="b">
        <v>1</v>
      </c>
      <c r="N162" s="225" t="s">
        <v>562</v>
      </c>
    </row>
    <row r="163" spans="1:14" x14ac:dyDescent="0.3">
      <c r="A163" s="213" t="s">
        <v>499</v>
      </c>
      <c r="B163" s="214" t="s">
        <v>500</v>
      </c>
      <c r="C163" s="223" t="s">
        <v>45</v>
      </c>
      <c r="D163" s="214"/>
      <c r="E163" s="214"/>
      <c r="F163" s="223" t="s">
        <v>46</v>
      </c>
      <c r="G163" s="224">
        <v>5</v>
      </c>
      <c r="H163" s="224">
        <f>H162+I162+2.5</f>
        <v>1067</v>
      </c>
      <c r="I163" s="224">
        <v>400</v>
      </c>
      <c r="J163" s="224">
        <v>115</v>
      </c>
      <c r="K163" s="224">
        <v>10</v>
      </c>
      <c r="L163" s="224" t="s">
        <v>127</v>
      </c>
      <c r="M163" s="224" t="b">
        <v>0</v>
      </c>
      <c r="N163" s="225" t="s">
        <v>562</v>
      </c>
    </row>
    <row r="164" spans="1:14" x14ac:dyDescent="0.3">
      <c r="A164" s="231" t="s">
        <v>519</v>
      </c>
      <c r="B164" s="232" t="s">
        <v>520</v>
      </c>
      <c r="C164" s="233" t="s">
        <v>34</v>
      </c>
      <c r="D164" s="232"/>
      <c r="E164" s="232"/>
      <c r="F164" s="233" t="s">
        <v>34</v>
      </c>
      <c r="G164" s="234">
        <v>5</v>
      </c>
      <c r="H164" s="234">
        <v>7</v>
      </c>
      <c r="I164" s="234">
        <v>115</v>
      </c>
      <c r="J164" s="234">
        <v>115</v>
      </c>
      <c r="K164" s="234">
        <v>2</v>
      </c>
      <c r="L164" s="234" t="s">
        <v>127</v>
      </c>
      <c r="M164" s="234" t="b">
        <v>1</v>
      </c>
      <c r="N164" s="235" t="s">
        <v>562</v>
      </c>
    </row>
    <row r="165" spans="1:14" x14ac:dyDescent="0.3">
      <c r="A165" s="231" t="s">
        <v>519</v>
      </c>
      <c r="B165" s="232" t="s">
        <v>520</v>
      </c>
      <c r="C165" s="233" t="s">
        <v>342</v>
      </c>
      <c r="D165" s="232"/>
      <c r="E165" s="232"/>
      <c r="F165" s="233" t="s">
        <v>342</v>
      </c>
      <c r="G165" s="234">
        <v>5</v>
      </c>
      <c r="H165" s="234">
        <f>H164+I164+2.5</f>
        <v>124.5</v>
      </c>
      <c r="I165" s="234">
        <v>135</v>
      </c>
      <c r="J165" s="234">
        <v>115</v>
      </c>
      <c r="K165" s="234">
        <v>1</v>
      </c>
      <c r="L165" s="234" t="s">
        <v>127</v>
      </c>
      <c r="M165" s="234" t="b">
        <v>1</v>
      </c>
      <c r="N165" s="235" t="s">
        <v>562</v>
      </c>
    </row>
    <row r="166" spans="1:14" ht="28.8" x14ac:dyDescent="0.3">
      <c r="A166" s="231" t="s">
        <v>519</v>
      </c>
      <c r="B166" s="232" t="s">
        <v>520</v>
      </c>
      <c r="C166" s="233" t="s">
        <v>481</v>
      </c>
      <c r="D166" s="232"/>
      <c r="E166" s="232"/>
      <c r="F166" s="233" t="s">
        <v>481</v>
      </c>
      <c r="G166" s="234">
        <v>5</v>
      </c>
      <c r="H166" s="234">
        <f>H165+I165+2.5</f>
        <v>262</v>
      </c>
      <c r="I166" s="234">
        <v>400</v>
      </c>
      <c r="J166" s="234">
        <v>115</v>
      </c>
      <c r="K166" s="234">
        <v>2</v>
      </c>
      <c r="L166" s="234" t="s">
        <v>127</v>
      </c>
      <c r="M166" s="234" t="b">
        <v>1</v>
      </c>
      <c r="N166" s="235" t="s">
        <v>562</v>
      </c>
    </row>
    <row r="167" spans="1:14" x14ac:dyDescent="0.3">
      <c r="A167" s="231" t="s">
        <v>519</v>
      </c>
      <c r="B167" s="232" t="s">
        <v>520</v>
      </c>
      <c r="C167" s="233" t="s">
        <v>36</v>
      </c>
      <c r="D167" s="232"/>
      <c r="E167" s="232"/>
      <c r="F167" s="233" t="s">
        <v>36</v>
      </c>
      <c r="G167" s="234">
        <v>5</v>
      </c>
      <c r="H167" s="234">
        <f>H166+I166+2.5</f>
        <v>664.5</v>
      </c>
      <c r="I167" s="234">
        <v>400</v>
      </c>
      <c r="J167" s="234">
        <v>115</v>
      </c>
      <c r="K167" s="234">
        <v>6</v>
      </c>
      <c r="L167" s="234" t="s">
        <v>127</v>
      </c>
      <c r="M167" s="234" t="b">
        <v>1</v>
      </c>
      <c r="N167" s="235" t="s">
        <v>562</v>
      </c>
    </row>
    <row r="168" spans="1:14" x14ac:dyDescent="0.3">
      <c r="A168" s="231" t="s">
        <v>519</v>
      </c>
      <c r="B168" s="232" t="s">
        <v>520</v>
      </c>
      <c r="C168" s="233" t="s">
        <v>45</v>
      </c>
      <c r="D168" s="232"/>
      <c r="E168" s="232"/>
      <c r="F168" s="233" t="s">
        <v>46</v>
      </c>
      <c r="G168" s="234">
        <v>5</v>
      </c>
      <c r="H168" s="234">
        <f>H167+I167+2.5</f>
        <v>1067</v>
      </c>
      <c r="I168" s="234">
        <v>400</v>
      </c>
      <c r="J168" s="234">
        <v>115</v>
      </c>
      <c r="K168" s="234">
        <v>10</v>
      </c>
      <c r="L168" s="234" t="s">
        <v>127</v>
      </c>
      <c r="M168" s="234" t="b">
        <v>0</v>
      </c>
      <c r="N168" s="235" t="s">
        <v>562</v>
      </c>
    </row>
    <row r="169" spans="1:14" x14ac:dyDescent="0.3">
      <c r="A169" s="213" t="s">
        <v>522</v>
      </c>
      <c r="B169" s="214" t="s">
        <v>523</v>
      </c>
      <c r="C169" s="223" t="s">
        <v>34</v>
      </c>
      <c r="D169" s="214"/>
      <c r="E169" s="214"/>
      <c r="F169" s="223" t="s">
        <v>34</v>
      </c>
      <c r="G169" s="224">
        <v>5</v>
      </c>
      <c r="H169" s="224">
        <v>7</v>
      </c>
      <c r="I169" s="224">
        <v>115</v>
      </c>
      <c r="J169" s="224">
        <v>115</v>
      </c>
      <c r="K169" s="224">
        <v>2</v>
      </c>
      <c r="L169" s="224" t="s">
        <v>127</v>
      </c>
      <c r="M169" s="224" t="b">
        <v>1</v>
      </c>
      <c r="N169" s="225" t="s">
        <v>562</v>
      </c>
    </row>
    <row r="170" spans="1:14" x14ac:dyDescent="0.3">
      <c r="A170" s="213" t="s">
        <v>522</v>
      </c>
      <c r="B170" s="214" t="s">
        <v>523</v>
      </c>
      <c r="C170" s="223" t="s">
        <v>342</v>
      </c>
      <c r="D170" s="214"/>
      <c r="E170" s="214"/>
      <c r="F170" s="223" t="s">
        <v>342</v>
      </c>
      <c r="G170" s="224">
        <v>5</v>
      </c>
      <c r="H170" s="224">
        <f>H169+I169+2.5</f>
        <v>124.5</v>
      </c>
      <c r="I170" s="224">
        <v>135</v>
      </c>
      <c r="J170" s="224">
        <v>115</v>
      </c>
      <c r="K170" s="224">
        <v>1</v>
      </c>
      <c r="L170" s="224" t="s">
        <v>127</v>
      </c>
      <c r="M170" s="224" t="b">
        <v>1</v>
      </c>
      <c r="N170" s="225" t="s">
        <v>562</v>
      </c>
    </row>
    <row r="171" spans="1:14" ht="28.8" x14ac:dyDescent="0.3">
      <c r="A171" s="213" t="s">
        <v>522</v>
      </c>
      <c r="B171" s="214" t="s">
        <v>523</v>
      </c>
      <c r="C171" s="223" t="s">
        <v>481</v>
      </c>
      <c r="D171" s="214"/>
      <c r="E171" s="214"/>
      <c r="F171" s="223" t="s">
        <v>481</v>
      </c>
      <c r="G171" s="224">
        <v>5</v>
      </c>
      <c r="H171" s="224">
        <f>H170+I170+2.5</f>
        <v>262</v>
      </c>
      <c r="I171" s="224">
        <v>400</v>
      </c>
      <c r="J171" s="224">
        <v>115</v>
      </c>
      <c r="K171" s="224">
        <v>2</v>
      </c>
      <c r="L171" s="224" t="s">
        <v>127</v>
      </c>
      <c r="M171" s="224" t="b">
        <v>1</v>
      </c>
      <c r="N171" s="225" t="s">
        <v>562</v>
      </c>
    </row>
    <row r="172" spans="1:14" x14ac:dyDescent="0.3">
      <c r="A172" s="213" t="s">
        <v>522</v>
      </c>
      <c r="B172" s="214" t="s">
        <v>523</v>
      </c>
      <c r="C172" s="223" t="s">
        <v>36</v>
      </c>
      <c r="D172" s="214"/>
      <c r="E172" s="214"/>
      <c r="F172" s="223" t="s">
        <v>36</v>
      </c>
      <c r="G172" s="224">
        <v>5</v>
      </c>
      <c r="H172" s="224">
        <f>H171+I171+2.5</f>
        <v>664.5</v>
      </c>
      <c r="I172" s="224">
        <v>400</v>
      </c>
      <c r="J172" s="224">
        <v>115</v>
      </c>
      <c r="K172" s="224">
        <v>6</v>
      </c>
      <c r="L172" s="224" t="s">
        <v>127</v>
      </c>
      <c r="M172" s="224" t="b">
        <v>1</v>
      </c>
      <c r="N172" s="225" t="s">
        <v>562</v>
      </c>
    </row>
    <row r="173" spans="1:14" x14ac:dyDescent="0.3">
      <c r="A173" s="213" t="s">
        <v>522</v>
      </c>
      <c r="B173" s="214" t="s">
        <v>523</v>
      </c>
      <c r="C173" s="223" t="s">
        <v>45</v>
      </c>
      <c r="D173" s="214"/>
      <c r="E173" s="214"/>
      <c r="F173" s="223" t="s">
        <v>46</v>
      </c>
      <c r="G173" s="224">
        <v>5</v>
      </c>
      <c r="H173" s="224">
        <f>H172+I172+2.5</f>
        <v>1067</v>
      </c>
      <c r="I173" s="224">
        <v>400</v>
      </c>
      <c r="J173" s="224">
        <v>115</v>
      </c>
      <c r="K173" s="224">
        <v>10</v>
      </c>
      <c r="L173" s="224" t="s">
        <v>127</v>
      </c>
      <c r="M173" s="224" t="b">
        <v>0</v>
      </c>
      <c r="N173" s="225" t="s">
        <v>562</v>
      </c>
    </row>
    <row r="174" spans="1:14" ht="28.8" x14ac:dyDescent="0.3">
      <c r="A174" s="231" t="s">
        <v>549</v>
      </c>
      <c r="B174" s="232" t="s">
        <v>550</v>
      </c>
      <c r="C174" s="233" t="s">
        <v>34</v>
      </c>
      <c r="D174" s="232"/>
      <c r="E174" s="232"/>
      <c r="F174" s="233" t="s">
        <v>34</v>
      </c>
      <c r="G174" s="234">
        <v>5</v>
      </c>
      <c r="H174" s="234">
        <v>7</v>
      </c>
      <c r="I174" s="234">
        <v>115</v>
      </c>
      <c r="J174" s="234">
        <v>115</v>
      </c>
      <c r="K174" s="234">
        <v>2</v>
      </c>
      <c r="L174" s="234" t="s">
        <v>127</v>
      </c>
      <c r="M174" s="234" t="b">
        <v>1</v>
      </c>
      <c r="N174" s="235" t="s">
        <v>562</v>
      </c>
    </row>
    <row r="175" spans="1:14" ht="28.8" x14ac:dyDescent="0.3">
      <c r="A175" s="231" t="s">
        <v>549</v>
      </c>
      <c r="B175" s="232" t="s">
        <v>550</v>
      </c>
      <c r="C175" s="233" t="s">
        <v>342</v>
      </c>
      <c r="D175" s="232"/>
      <c r="E175" s="232"/>
      <c r="F175" s="233" t="s">
        <v>342</v>
      </c>
      <c r="G175" s="234">
        <v>5</v>
      </c>
      <c r="H175" s="234">
        <f>H174+I174+2.5</f>
        <v>124.5</v>
      </c>
      <c r="I175" s="234">
        <v>135</v>
      </c>
      <c r="J175" s="234">
        <v>115</v>
      </c>
      <c r="K175" s="234">
        <v>1</v>
      </c>
      <c r="L175" s="234" t="s">
        <v>127</v>
      </c>
      <c r="M175" s="234" t="b">
        <v>1</v>
      </c>
      <c r="N175" s="235" t="s">
        <v>562</v>
      </c>
    </row>
    <row r="176" spans="1:14" ht="28.8" x14ac:dyDescent="0.3">
      <c r="A176" s="231" t="s">
        <v>549</v>
      </c>
      <c r="B176" s="232" t="s">
        <v>550</v>
      </c>
      <c r="C176" s="233" t="s">
        <v>552</v>
      </c>
      <c r="D176" s="232"/>
      <c r="E176" s="232"/>
      <c r="F176" s="233" t="s">
        <v>552</v>
      </c>
      <c r="G176" s="234">
        <v>5</v>
      </c>
      <c r="H176" s="234">
        <f>H175+I175+2.5</f>
        <v>262</v>
      </c>
      <c r="I176" s="234">
        <v>400</v>
      </c>
      <c r="J176" s="234">
        <v>115</v>
      </c>
      <c r="K176" s="234">
        <v>2</v>
      </c>
      <c r="L176" s="234" t="s">
        <v>127</v>
      </c>
      <c r="M176" s="234" t="b">
        <v>1</v>
      </c>
      <c r="N176" s="235" t="s">
        <v>562</v>
      </c>
    </row>
    <row r="177" spans="1:14" ht="28.8" x14ac:dyDescent="0.3">
      <c r="A177" s="231" t="s">
        <v>549</v>
      </c>
      <c r="B177" s="232" t="s">
        <v>550</v>
      </c>
      <c r="C177" s="233" t="s">
        <v>35</v>
      </c>
      <c r="D177" s="232"/>
      <c r="E177" s="232"/>
      <c r="F177" s="233" t="s">
        <v>36</v>
      </c>
      <c r="G177" s="234">
        <v>5</v>
      </c>
      <c r="H177" s="234">
        <f>H176+I176+2.5</f>
        <v>664.5</v>
      </c>
      <c r="I177" s="234">
        <v>400</v>
      </c>
      <c r="J177" s="234">
        <v>115</v>
      </c>
      <c r="K177" s="234">
        <v>6</v>
      </c>
      <c r="L177" s="234" t="s">
        <v>127</v>
      </c>
      <c r="M177" s="234" t="b">
        <v>1</v>
      </c>
      <c r="N177" s="235" t="s">
        <v>562</v>
      </c>
    </row>
    <row r="178" spans="1:14" ht="28.8" x14ac:dyDescent="0.3">
      <c r="A178" s="231" t="s">
        <v>549</v>
      </c>
      <c r="B178" s="232" t="s">
        <v>550</v>
      </c>
      <c r="C178" s="233" t="s">
        <v>45</v>
      </c>
      <c r="D178" s="232"/>
      <c r="E178" s="232"/>
      <c r="F178" s="233" t="s">
        <v>46</v>
      </c>
      <c r="G178" s="234">
        <v>5</v>
      </c>
      <c r="H178" s="234">
        <f>H177+I177+2.5</f>
        <v>1067</v>
      </c>
      <c r="I178" s="234">
        <v>400</v>
      </c>
      <c r="J178" s="234">
        <v>115</v>
      </c>
      <c r="K178" s="234">
        <v>10</v>
      </c>
      <c r="L178" s="234" t="s">
        <v>127</v>
      </c>
      <c r="M178" s="234" t="b">
        <v>0</v>
      </c>
      <c r="N178" s="235" t="s">
        <v>562</v>
      </c>
    </row>
    <row r="179" spans="1:14" ht="28.8" x14ac:dyDescent="0.3">
      <c r="A179" s="213" t="s">
        <v>578</v>
      </c>
      <c r="B179" s="214" t="s">
        <v>579</v>
      </c>
      <c r="C179" s="223" t="s">
        <v>34</v>
      </c>
      <c r="D179" s="214"/>
      <c r="E179" s="214"/>
      <c r="F179" s="223" t="s">
        <v>34</v>
      </c>
      <c r="G179" s="224">
        <v>5</v>
      </c>
      <c r="H179" s="224">
        <v>7</v>
      </c>
      <c r="I179" s="224">
        <v>115</v>
      </c>
      <c r="J179" s="224">
        <v>115</v>
      </c>
      <c r="K179" s="224">
        <v>2</v>
      </c>
      <c r="L179" s="224" t="s">
        <v>127</v>
      </c>
      <c r="M179" s="224" t="b">
        <v>1</v>
      </c>
      <c r="N179" s="225" t="s">
        <v>562</v>
      </c>
    </row>
    <row r="180" spans="1:14" ht="28.8" x14ac:dyDescent="0.3">
      <c r="A180" s="213" t="s">
        <v>578</v>
      </c>
      <c r="B180" s="214" t="s">
        <v>579</v>
      </c>
      <c r="C180" s="223" t="s">
        <v>342</v>
      </c>
      <c r="D180" s="214"/>
      <c r="E180" s="214"/>
      <c r="F180" s="223" t="s">
        <v>342</v>
      </c>
      <c r="G180" s="224">
        <v>5</v>
      </c>
      <c r="H180" s="224">
        <f>H179+I179+2.5</f>
        <v>124.5</v>
      </c>
      <c r="I180" s="224">
        <v>135</v>
      </c>
      <c r="J180" s="224">
        <v>115</v>
      </c>
      <c r="K180" s="224">
        <v>1</v>
      </c>
      <c r="L180" s="224" t="s">
        <v>127</v>
      </c>
      <c r="M180" s="224" t="b">
        <v>1</v>
      </c>
      <c r="N180" s="225" t="s">
        <v>562</v>
      </c>
    </row>
    <row r="181" spans="1:14" ht="28.8" x14ac:dyDescent="0.3">
      <c r="A181" s="213" t="s">
        <v>578</v>
      </c>
      <c r="B181" s="214" t="s">
        <v>579</v>
      </c>
      <c r="C181" s="223" t="s">
        <v>441</v>
      </c>
      <c r="D181" s="214"/>
      <c r="E181" s="214"/>
      <c r="F181" s="223" t="s">
        <v>441</v>
      </c>
      <c r="G181" s="224">
        <v>5</v>
      </c>
      <c r="H181" s="224">
        <f>H180+I180+2.5</f>
        <v>262</v>
      </c>
      <c r="I181" s="224">
        <v>135</v>
      </c>
      <c r="J181" s="224">
        <v>115</v>
      </c>
      <c r="K181" s="224">
        <v>2</v>
      </c>
      <c r="L181" s="224" t="s">
        <v>127</v>
      </c>
      <c r="M181" s="224" t="b">
        <v>1</v>
      </c>
      <c r="N181" s="225" t="s">
        <v>562</v>
      </c>
    </row>
    <row r="182" spans="1:14" ht="28.8" x14ac:dyDescent="0.3">
      <c r="A182" s="213" t="s">
        <v>578</v>
      </c>
      <c r="B182" s="214" t="s">
        <v>579</v>
      </c>
      <c r="C182" s="223" t="s">
        <v>35</v>
      </c>
      <c r="D182" s="214"/>
      <c r="E182" s="214"/>
      <c r="F182" s="223" t="s">
        <v>36</v>
      </c>
      <c r="G182" s="224">
        <v>5</v>
      </c>
      <c r="H182" s="224">
        <f>H181+I181+2.5</f>
        <v>399.5</v>
      </c>
      <c r="I182" s="224">
        <v>400</v>
      </c>
      <c r="J182" s="224">
        <v>115</v>
      </c>
      <c r="K182" s="224">
        <v>6</v>
      </c>
      <c r="L182" s="224" t="s">
        <v>127</v>
      </c>
      <c r="M182" s="224" t="b">
        <v>1</v>
      </c>
      <c r="N182" s="225" t="s">
        <v>562</v>
      </c>
    </row>
    <row r="183" spans="1:14" ht="28.8" x14ac:dyDescent="0.3">
      <c r="A183" s="251" t="s">
        <v>578</v>
      </c>
      <c r="B183" s="252" t="s">
        <v>579</v>
      </c>
      <c r="C183" s="253" t="s">
        <v>45</v>
      </c>
      <c r="D183" s="252"/>
      <c r="E183" s="252"/>
      <c r="F183" s="253" t="s">
        <v>46</v>
      </c>
      <c r="G183" s="254">
        <v>5</v>
      </c>
      <c r="H183" s="254">
        <f>H182+I182+2.5</f>
        <v>802</v>
      </c>
      <c r="I183" s="254">
        <v>400</v>
      </c>
      <c r="J183" s="254">
        <v>115</v>
      </c>
      <c r="K183" s="254">
        <v>10</v>
      </c>
      <c r="L183" s="254" t="s">
        <v>127</v>
      </c>
      <c r="M183" s="254" t="b">
        <v>0</v>
      </c>
      <c r="N183" s="51" t="s">
        <v>562</v>
      </c>
    </row>
    <row r="184" spans="1:14" x14ac:dyDescent="0.3">
      <c r="A184" s="231" t="s">
        <v>599</v>
      </c>
      <c r="B184" s="232" t="s">
        <v>600</v>
      </c>
      <c r="C184" s="233" t="s">
        <v>34</v>
      </c>
      <c r="D184" s="232"/>
      <c r="E184" s="232"/>
      <c r="F184" s="233" t="s">
        <v>34</v>
      </c>
      <c r="G184" s="234">
        <v>5</v>
      </c>
      <c r="H184" s="234">
        <v>7</v>
      </c>
      <c r="I184" s="234">
        <v>115</v>
      </c>
      <c r="J184" s="234">
        <v>115</v>
      </c>
      <c r="K184" s="234">
        <v>2</v>
      </c>
      <c r="L184" s="234" t="s">
        <v>127</v>
      </c>
      <c r="M184" s="234" t="b">
        <v>1</v>
      </c>
      <c r="N184" s="235" t="s">
        <v>561</v>
      </c>
    </row>
    <row r="185" spans="1:14" ht="28.8" x14ac:dyDescent="0.3">
      <c r="A185" s="231" t="s">
        <v>599</v>
      </c>
      <c r="B185" s="232" t="s">
        <v>600</v>
      </c>
      <c r="C185" s="233" t="s">
        <v>601</v>
      </c>
      <c r="D185" s="232"/>
      <c r="E185" s="232"/>
      <c r="F185" s="233" t="s">
        <v>129</v>
      </c>
      <c r="G185" s="234">
        <v>5</v>
      </c>
      <c r="H185" s="234">
        <v>125</v>
      </c>
      <c r="I185" s="234">
        <f>425*0.8</f>
        <v>340</v>
      </c>
      <c r="J185" s="234">
        <v>115</v>
      </c>
      <c r="K185" s="234">
        <v>2</v>
      </c>
      <c r="L185" s="234" t="s">
        <v>127</v>
      </c>
      <c r="M185" s="234" t="b">
        <v>1</v>
      </c>
      <c r="N185" s="235" t="s">
        <v>561</v>
      </c>
    </row>
    <row r="186" spans="1:14" x14ac:dyDescent="0.3">
      <c r="A186" s="231" t="s">
        <v>599</v>
      </c>
      <c r="B186" s="232" t="s">
        <v>600</v>
      </c>
      <c r="C186" s="233" t="s">
        <v>342</v>
      </c>
      <c r="D186" s="232"/>
      <c r="E186" s="232"/>
      <c r="F186" s="233" t="s">
        <v>342</v>
      </c>
      <c r="G186" s="234">
        <v>5</v>
      </c>
      <c r="H186" s="234">
        <f>H185+I185+2.5</f>
        <v>467.5</v>
      </c>
      <c r="I186" s="234">
        <v>135</v>
      </c>
      <c r="J186" s="234">
        <v>115</v>
      </c>
      <c r="K186" s="234">
        <v>1</v>
      </c>
      <c r="L186" s="234" t="s">
        <v>127</v>
      </c>
      <c r="M186" s="234" t="b">
        <v>1</v>
      </c>
      <c r="N186" s="235" t="s">
        <v>562</v>
      </c>
    </row>
    <row r="187" spans="1:14" x14ac:dyDescent="0.3">
      <c r="A187" s="231" t="s">
        <v>599</v>
      </c>
      <c r="B187" s="232" t="s">
        <v>600</v>
      </c>
      <c r="C187" s="233" t="s">
        <v>35</v>
      </c>
      <c r="D187" s="232"/>
      <c r="E187" s="232"/>
      <c r="F187" s="233" t="s">
        <v>36</v>
      </c>
      <c r="G187" s="234">
        <v>5</v>
      </c>
      <c r="H187" s="234">
        <f>H186+I186+2.5</f>
        <v>605</v>
      </c>
      <c r="I187" s="234">
        <f>425*0.8</f>
        <v>340</v>
      </c>
      <c r="J187" s="234">
        <v>115</v>
      </c>
      <c r="K187" s="234">
        <v>6</v>
      </c>
      <c r="L187" s="234" t="s">
        <v>127</v>
      </c>
      <c r="M187" s="234" t="b">
        <v>0</v>
      </c>
      <c r="N187" s="235" t="s">
        <v>561</v>
      </c>
    </row>
    <row r="188" spans="1:14" ht="28.8" x14ac:dyDescent="0.3">
      <c r="A188" s="255" t="s">
        <v>599</v>
      </c>
      <c r="B188" s="256" t="s">
        <v>600</v>
      </c>
      <c r="C188" s="257" t="s">
        <v>108</v>
      </c>
      <c r="D188" s="256"/>
      <c r="E188" s="256"/>
      <c r="F188" s="257" t="s">
        <v>123</v>
      </c>
      <c r="G188" s="258">
        <v>5</v>
      </c>
      <c r="H188" s="258">
        <f>H187+I187+2.5</f>
        <v>947.5</v>
      </c>
      <c r="I188" s="258">
        <v>210</v>
      </c>
      <c r="J188" s="258">
        <v>115</v>
      </c>
      <c r="K188" s="258">
        <v>1</v>
      </c>
      <c r="L188" s="258" t="s">
        <v>127</v>
      </c>
      <c r="M188" s="258" t="b">
        <v>0</v>
      </c>
      <c r="N188" s="259" t="s">
        <v>561</v>
      </c>
    </row>
    <row r="189" spans="1:14" ht="28.8" x14ac:dyDescent="0.3">
      <c r="A189" s="213" t="s">
        <v>613</v>
      </c>
      <c r="B189" s="214" t="s">
        <v>614</v>
      </c>
      <c r="C189" s="223" t="s">
        <v>34</v>
      </c>
      <c r="D189" s="214"/>
      <c r="E189" s="214"/>
      <c r="F189" s="223" t="s">
        <v>34</v>
      </c>
      <c r="G189" s="224">
        <v>5</v>
      </c>
      <c r="H189" s="224">
        <v>7</v>
      </c>
      <c r="I189" s="224">
        <v>115</v>
      </c>
      <c r="J189" s="224">
        <v>115</v>
      </c>
      <c r="K189" s="224">
        <v>2</v>
      </c>
      <c r="L189" s="224" t="s">
        <v>127</v>
      </c>
      <c r="M189" s="224" t="b">
        <v>1</v>
      </c>
      <c r="N189" s="225" t="s">
        <v>561</v>
      </c>
    </row>
    <row r="190" spans="1:14" ht="28.8" x14ac:dyDescent="0.3">
      <c r="A190" s="213" t="s">
        <v>613</v>
      </c>
      <c r="B190" s="214" t="s">
        <v>614</v>
      </c>
      <c r="C190" s="223" t="s">
        <v>529</v>
      </c>
      <c r="D190" s="214"/>
      <c r="E190" s="214"/>
      <c r="F190" s="223" t="s">
        <v>102</v>
      </c>
      <c r="G190" s="224">
        <v>5</v>
      </c>
      <c r="H190" s="224">
        <f>H189+I189+2.5</f>
        <v>124.5</v>
      </c>
      <c r="I190" s="224">
        <v>420</v>
      </c>
      <c r="J190" s="224">
        <v>115</v>
      </c>
      <c r="K190" s="224">
        <v>3</v>
      </c>
      <c r="L190" s="224" t="s">
        <v>127</v>
      </c>
      <c r="M190" s="224" t="b">
        <v>1</v>
      </c>
      <c r="N190" s="225" t="s">
        <v>561</v>
      </c>
    </row>
    <row r="191" spans="1:14" ht="28.8" x14ac:dyDescent="0.3">
      <c r="A191" s="213" t="s">
        <v>613</v>
      </c>
      <c r="B191" s="214" t="s">
        <v>614</v>
      </c>
      <c r="C191" s="223" t="s">
        <v>342</v>
      </c>
      <c r="D191" s="214"/>
      <c r="E191" s="214"/>
      <c r="F191" s="223" t="s">
        <v>342</v>
      </c>
      <c r="G191" s="224">
        <v>5</v>
      </c>
      <c r="H191" s="224">
        <f>H190+I190+2.5</f>
        <v>547</v>
      </c>
      <c r="I191" s="224">
        <v>135</v>
      </c>
      <c r="J191" s="224">
        <v>115</v>
      </c>
      <c r="K191" s="224">
        <v>1</v>
      </c>
      <c r="L191" s="224" t="s">
        <v>127</v>
      </c>
      <c r="M191" s="224" t="b">
        <v>1</v>
      </c>
      <c r="N191" s="225" t="s">
        <v>562</v>
      </c>
    </row>
    <row r="192" spans="1:14" ht="28.8" x14ac:dyDescent="0.3">
      <c r="A192" s="213" t="s">
        <v>613</v>
      </c>
      <c r="B192" s="214" t="s">
        <v>614</v>
      </c>
      <c r="C192" s="223" t="s">
        <v>35</v>
      </c>
      <c r="D192" s="214"/>
      <c r="E192" s="214"/>
      <c r="F192" s="223" t="s">
        <v>36</v>
      </c>
      <c r="G192" s="224">
        <v>5</v>
      </c>
      <c r="H192" s="224">
        <f>H191+I191+2.5</f>
        <v>684.5</v>
      </c>
      <c r="I192" s="224">
        <f>425*0.8</f>
        <v>340</v>
      </c>
      <c r="J192" s="224">
        <v>115</v>
      </c>
      <c r="K192" s="224">
        <v>6</v>
      </c>
      <c r="L192" s="224" t="s">
        <v>127</v>
      </c>
      <c r="M192" s="224" t="b">
        <v>0</v>
      </c>
      <c r="N192" s="225" t="s">
        <v>561</v>
      </c>
    </row>
    <row r="193" spans="1:14" ht="28.8" x14ac:dyDescent="0.3">
      <c r="A193" s="251" t="s">
        <v>613</v>
      </c>
      <c r="B193" s="252" t="s">
        <v>614</v>
      </c>
      <c r="C193" s="253" t="s">
        <v>45</v>
      </c>
      <c r="D193" s="252"/>
      <c r="E193" s="252"/>
      <c r="F193" s="253" t="s">
        <v>46</v>
      </c>
      <c r="G193" s="254">
        <v>5</v>
      </c>
      <c r="H193" s="254">
        <f>H192+I192+2.5</f>
        <v>1027</v>
      </c>
      <c r="I193" s="254">
        <v>340</v>
      </c>
      <c r="J193" s="254">
        <v>115</v>
      </c>
      <c r="K193" s="254">
        <v>7</v>
      </c>
      <c r="L193" s="254" t="s">
        <v>127</v>
      </c>
      <c r="M193" s="254" t="b">
        <v>0</v>
      </c>
      <c r="N193" s="51" t="s">
        <v>561</v>
      </c>
    </row>
    <row r="194" spans="1:14" ht="28.8" x14ac:dyDescent="0.3">
      <c r="A194" s="231" t="s">
        <v>637</v>
      </c>
      <c r="B194" s="232" t="s">
        <v>638</v>
      </c>
      <c r="C194" s="233" t="s">
        <v>34</v>
      </c>
      <c r="D194" s="232"/>
      <c r="E194" s="232"/>
      <c r="F194" s="233" t="s">
        <v>34</v>
      </c>
      <c r="G194" s="234">
        <v>5</v>
      </c>
      <c r="H194" s="234">
        <v>7</v>
      </c>
      <c r="I194" s="234">
        <v>115</v>
      </c>
      <c r="J194" s="234">
        <v>115</v>
      </c>
      <c r="K194" s="234">
        <v>2</v>
      </c>
      <c r="L194" s="234" t="s">
        <v>127</v>
      </c>
      <c r="M194" s="234" t="b">
        <v>1</v>
      </c>
      <c r="N194" s="235" t="s">
        <v>561</v>
      </c>
    </row>
    <row r="195" spans="1:14" ht="28.8" x14ac:dyDescent="0.3">
      <c r="A195" s="231" t="s">
        <v>637</v>
      </c>
      <c r="B195" s="232" t="s">
        <v>638</v>
      </c>
      <c r="C195" s="233" t="s">
        <v>35</v>
      </c>
      <c r="D195" s="232"/>
      <c r="E195" s="232"/>
      <c r="F195" s="233" t="s">
        <v>36</v>
      </c>
      <c r="G195" s="234">
        <v>5</v>
      </c>
      <c r="H195" s="234">
        <f>H194+I194+2.5</f>
        <v>124.5</v>
      </c>
      <c r="I195" s="234">
        <f>425*0.8</f>
        <v>340</v>
      </c>
      <c r="J195" s="234">
        <v>115</v>
      </c>
      <c r="K195" s="234">
        <v>6</v>
      </c>
      <c r="L195" s="234" t="s">
        <v>127</v>
      </c>
      <c r="M195" s="234" t="b">
        <v>0</v>
      </c>
      <c r="N195" s="235" t="s">
        <v>561</v>
      </c>
    </row>
    <row r="196" spans="1:14" ht="28.8" x14ac:dyDescent="0.3">
      <c r="A196" s="231" t="s">
        <v>637</v>
      </c>
      <c r="B196" s="232" t="s">
        <v>638</v>
      </c>
      <c r="C196" s="233" t="s">
        <v>342</v>
      </c>
      <c r="D196" s="232"/>
      <c r="E196" s="232"/>
      <c r="F196" s="233" t="s">
        <v>342</v>
      </c>
      <c r="G196" s="234">
        <v>5</v>
      </c>
      <c r="H196" s="234">
        <f>H195+I195+2.5</f>
        <v>467</v>
      </c>
      <c r="I196" s="234">
        <v>135</v>
      </c>
      <c r="J196" s="234">
        <v>115</v>
      </c>
      <c r="K196" s="234">
        <v>1</v>
      </c>
      <c r="L196" s="234" t="s">
        <v>127</v>
      </c>
      <c r="M196" s="234" t="b">
        <v>1</v>
      </c>
      <c r="N196" s="235" t="s">
        <v>562</v>
      </c>
    </row>
    <row r="197" spans="1:14" ht="28.8" x14ac:dyDescent="0.3">
      <c r="A197" s="231" t="s">
        <v>637</v>
      </c>
      <c r="B197" s="232" t="s">
        <v>638</v>
      </c>
      <c r="C197" s="233" t="s">
        <v>639</v>
      </c>
      <c r="D197" s="232"/>
      <c r="E197" s="232"/>
      <c r="F197" s="233" t="s">
        <v>640</v>
      </c>
      <c r="G197" s="234">
        <v>5</v>
      </c>
      <c r="H197" s="234">
        <f>H196+I196+2.5</f>
        <v>604.5</v>
      </c>
      <c r="I197" s="234">
        <v>135</v>
      </c>
      <c r="J197" s="234">
        <v>115</v>
      </c>
      <c r="K197" s="234">
        <v>1</v>
      </c>
      <c r="L197" s="234" t="s">
        <v>127</v>
      </c>
      <c r="M197" s="234" t="b">
        <v>1</v>
      </c>
      <c r="N197" s="235" t="s">
        <v>562</v>
      </c>
    </row>
    <row r="198" spans="1:14" ht="28.8" x14ac:dyDescent="0.3">
      <c r="A198" s="231" t="s">
        <v>637</v>
      </c>
      <c r="B198" s="232" t="s">
        <v>638</v>
      </c>
      <c r="C198" s="233" t="s">
        <v>626</v>
      </c>
      <c r="D198" s="232"/>
      <c r="E198" s="232"/>
      <c r="F198" s="233" t="s">
        <v>626</v>
      </c>
      <c r="G198" s="234">
        <v>5</v>
      </c>
      <c r="H198" s="234">
        <f>H197+I197+2.5</f>
        <v>742</v>
      </c>
      <c r="I198" s="234">
        <v>280</v>
      </c>
      <c r="J198" s="234">
        <v>115</v>
      </c>
      <c r="K198" s="234">
        <v>2</v>
      </c>
      <c r="L198" s="234" t="s">
        <v>127</v>
      </c>
      <c r="M198" s="234" t="b">
        <v>1</v>
      </c>
      <c r="N198" s="235" t="s">
        <v>561</v>
      </c>
    </row>
    <row r="199" spans="1:14" ht="28.8" x14ac:dyDescent="0.3">
      <c r="A199" s="255" t="s">
        <v>637</v>
      </c>
      <c r="B199" s="256" t="s">
        <v>638</v>
      </c>
      <c r="C199" s="257" t="s">
        <v>45</v>
      </c>
      <c r="D199" s="256"/>
      <c r="E199" s="256"/>
      <c r="F199" s="257" t="s">
        <v>46</v>
      </c>
      <c r="G199" s="258">
        <v>5</v>
      </c>
      <c r="H199" s="234">
        <f>H198+I198+2.5</f>
        <v>1024.5</v>
      </c>
      <c r="I199" s="258">
        <v>340</v>
      </c>
      <c r="J199" s="258">
        <v>115</v>
      </c>
      <c r="K199" s="258">
        <v>7</v>
      </c>
      <c r="L199" s="258" t="s">
        <v>127</v>
      </c>
      <c r="M199" s="258" t="b">
        <v>0</v>
      </c>
      <c r="N199" s="259" t="s">
        <v>561</v>
      </c>
    </row>
    <row r="200" spans="1:14" ht="28.8" x14ac:dyDescent="0.3">
      <c r="A200" s="213" t="s">
        <v>641</v>
      </c>
      <c r="B200" s="214" t="s">
        <v>642</v>
      </c>
      <c r="C200" s="223" t="s">
        <v>34</v>
      </c>
      <c r="D200" s="214"/>
      <c r="E200" s="214"/>
      <c r="F200" s="223" t="s">
        <v>34</v>
      </c>
      <c r="G200" s="224">
        <v>5</v>
      </c>
      <c r="H200" s="224">
        <v>7</v>
      </c>
      <c r="I200" s="224">
        <v>115</v>
      </c>
      <c r="J200" s="224">
        <v>115</v>
      </c>
      <c r="K200" s="224">
        <v>2</v>
      </c>
      <c r="L200" s="224" t="s">
        <v>127</v>
      </c>
      <c r="M200" s="224" t="b">
        <v>1</v>
      </c>
      <c r="N200" s="225" t="s">
        <v>561</v>
      </c>
    </row>
    <row r="201" spans="1:14" ht="28.8" x14ac:dyDescent="0.3">
      <c r="A201" s="213" t="s">
        <v>641</v>
      </c>
      <c r="B201" s="214" t="s">
        <v>642</v>
      </c>
      <c r="C201" s="223" t="s">
        <v>35</v>
      </c>
      <c r="D201" s="214"/>
      <c r="E201" s="214"/>
      <c r="F201" s="223" t="s">
        <v>36</v>
      </c>
      <c r="G201" s="224">
        <v>5</v>
      </c>
      <c r="H201" s="224">
        <f>H200+I200+2.5</f>
        <v>124.5</v>
      </c>
      <c r="I201" s="224">
        <f>425*0.8</f>
        <v>340</v>
      </c>
      <c r="J201" s="224">
        <v>115</v>
      </c>
      <c r="K201" s="224">
        <v>6</v>
      </c>
      <c r="L201" s="224" t="s">
        <v>127</v>
      </c>
      <c r="M201" s="224" t="b">
        <v>0</v>
      </c>
      <c r="N201" s="225" t="s">
        <v>561</v>
      </c>
    </row>
    <row r="202" spans="1:14" ht="28.8" x14ac:dyDescent="0.3">
      <c r="A202" s="213" t="s">
        <v>641</v>
      </c>
      <c r="B202" s="214" t="s">
        <v>642</v>
      </c>
      <c r="C202" s="223" t="s">
        <v>342</v>
      </c>
      <c r="D202" s="214"/>
      <c r="E202" s="214"/>
      <c r="F202" s="223" t="s">
        <v>342</v>
      </c>
      <c r="G202" s="224">
        <v>5</v>
      </c>
      <c r="H202" s="224">
        <f>H201+I201+2.5</f>
        <v>467</v>
      </c>
      <c r="I202" s="224">
        <v>135</v>
      </c>
      <c r="J202" s="224">
        <v>115</v>
      </c>
      <c r="K202" s="224">
        <v>1</v>
      </c>
      <c r="L202" s="224" t="s">
        <v>127</v>
      </c>
      <c r="M202" s="224" t="b">
        <v>1</v>
      </c>
      <c r="N202" s="225" t="s">
        <v>562</v>
      </c>
    </row>
    <row r="203" spans="1:14" ht="28.8" x14ac:dyDescent="0.3">
      <c r="A203" s="213" t="s">
        <v>641</v>
      </c>
      <c r="B203" s="214" t="s">
        <v>642</v>
      </c>
      <c r="C203" s="223" t="s">
        <v>643</v>
      </c>
      <c r="D203" s="214"/>
      <c r="E203" s="214"/>
      <c r="F203" s="223" t="s">
        <v>640</v>
      </c>
      <c r="G203" s="224">
        <v>5</v>
      </c>
      <c r="H203" s="224">
        <f>H202+I202+2.5</f>
        <v>604.5</v>
      </c>
      <c r="I203" s="224">
        <v>135</v>
      </c>
      <c r="J203" s="224">
        <v>115</v>
      </c>
      <c r="K203" s="224">
        <v>1</v>
      </c>
      <c r="L203" s="224" t="s">
        <v>127</v>
      </c>
      <c r="M203" s="224" t="b">
        <v>1</v>
      </c>
      <c r="N203" s="225" t="s">
        <v>561</v>
      </c>
    </row>
    <row r="204" spans="1:14" ht="28.8" x14ac:dyDescent="0.3">
      <c r="A204" s="213" t="s">
        <v>641</v>
      </c>
      <c r="B204" s="214" t="s">
        <v>642</v>
      </c>
      <c r="C204" s="223" t="s">
        <v>98</v>
      </c>
      <c r="D204" s="214"/>
      <c r="E204" s="214"/>
      <c r="F204" s="223" t="s">
        <v>98</v>
      </c>
      <c r="G204" s="224">
        <v>5</v>
      </c>
      <c r="H204" s="224">
        <f>H203+I203+2.5</f>
        <v>742</v>
      </c>
      <c r="I204" s="224">
        <v>420</v>
      </c>
      <c r="J204" s="224">
        <v>115</v>
      </c>
      <c r="K204" s="224">
        <v>3</v>
      </c>
      <c r="L204" s="224" t="s">
        <v>127</v>
      </c>
      <c r="M204" s="224" t="b">
        <v>1</v>
      </c>
      <c r="N204" s="225" t="s">
        <v>561</v>
      </c>
    </row>
    <row r="205" spans="1:14" ht="28.8" x14ac:dyDescent="0.3">
      <c r="A205" s="251" t="s">
        <v>641</v>
      </c>
      <c r="B205" s="252" t="s">
        <v>642</v>
      </c>
      <c r="C205" s="253" t="s">
        <v>45</v>
      </c>
      <c r="D205" s="252"/>
      <c r="E205" s="252"/>
      <c r="F205" s="253" t="s">
        <v>46</v>
      </c>
      <c r="G205" s="254">
        <v>5</v>
      </c>
      <c r="H205" s="254">
        <f>H204+I204+2.5</f>
        <v>1164.5</v>
      </c>
      <c r="I205" s="254">
        <v>340</v>
      </c>
      <c r="J205" s="254">
        <v>115</v>
      </c>
      <c r="K205" s="254">
        <v>7</v>
      </c>
      <c r="L205" s="254" t="s">
        <v>127</v>
      </c>
      <c r="M205" s="254" t="b">
        <v>0</v>
      </c>
      <c r="N205" s="51" t="s">
        <v>561</v>
      </c>
    </row>
    <row r="206" spans="1:14" ht="28.8" x14ac:dyDescent="0.3">
      <c r="A206" s="231" t="s">
        <v>666</v>
      </c>
      <c r="B206" s="232" t="s">
        <v>665</v>
      </c>
      <c r="C206" s="233" t="s">
        <v>687</v>
      </c>
      <c r="D206" s="232"/>
      <c r="E206" s="232"/>
      <c r="F206" s="233" t="s">
        <v>687</v>
      </c>
      <c r="G206" s="234">
        <v>5</v>
      </c>
      <c r="H206" s="234">
        <v>7</v>
      </c>
      <c r="I206" s="234">
        <v>115</v>
      </c>
      <c r="J206" s="234">
        <v>115</v>
      </c>
      <c r="K206" s="234">
        <v>2</v>
      </c>
      <c r="L206" s="234" t="s">
        <v>127</v>
      </c>
      <c r="M206" s="234" t="b">
        <v>1</v>
      </c>
      <c r="N206" s="235" t="s">
        <v>562</v>
      </c>
    </row>
    <row r="207" spans="1:14" x14ac:dyDescent="0.3">
      <c r="A207" s="231" t="s">
        <v>666</v>
      </c>
      <c r="B207" s="232" t="s">
        <v>665</v>
      </c>
      <c r="C207" s="233" t="s">
        <v>686</v>
      </c>
      <c r="D207" s="232"/>
      <c r="E207" s="232"/>
      <c r="F207" s="233" t="s">
        <v>686</v>
      </c>
      <c r="G207" s="234">
        <v>5</v>
      </c>
      <c r="H207" s="234">
        <f>H206+I206+2.5</f>
        <v>124.5</v>
      </c>
      <c r="I207" s="234">
        <f>425*0.8</f>
        <v>340</v>
      </c>
      <c r="J207" s="234">
        <v>115</v>
      </c>
      <c r="K207" s="234">
        <v>1</v>
      </c>
      <c r="L207" s="234" t="s">
        <v>127</v>
      </c>
      <c r="M207" s="234" t="b">
        <v>1</v>
      </c>
      <c r="N207" s="235" t="s">
        <v>562</v>
      </c>
    </row>
    <row r="208" spans="1:14" x14ac:dyDescent="0.3">
      <c r="A208" s="231" t="s">
        <v>666</v>
      </c>
      <c r="B208" s="232" t="s">
        <v>665</v>
      </c>
      <c r="C208" s="233" t="s">
        <v>342</v>
      </c>
      <c r="D208" s="232"/>
      <c r="E208" s="232"/>
      <c r="F208" s="233" t="s">
        <v>342</v>
      </c>
      <c r="G208" s="234">
        <v>5</v>
      </c>
      <c r="H208" s="234">
        <f>H207+I207+2.5</f>
        <v>467</v>
      </c>
      <c r="I208" s="234">
        <v>135</v>
      </c>
      <c r="J208" s="234">
        <v>115</v>
      </c>
      <c r="K208" s="234">
        <v>1</v>
      </c>
      <c r="L208" s="234" t="s">
        <v>127</v>
      </c>
      <c r="M208" s="234" t="b">
        <v>1</v>
      </c>
      <c r="N208" s="235" t="s">
        <v>562</v>
      </c>
    </row>
    <row r="209" spans="1:14" ht="28.8" x14ac:dyDescent="0.3">
      <c r="A209" s="231" t="s">
        <v>666</v>
      </c>
      <c r="B209" s="232" t="s">
        <v>665</v>
      </c>
      <c r="C209" s="233" t="s">
        <v>668</v>
      </c>
      <c r="D209" s="232"/>
      <c r="E209" s="232"/>
      <c r="F209" s="233" t="s">
        <v>668</v>
      </c>
      <c r="G209" s="234">
        <v>5</v>
      </c>
      <c r="H209" s="234">
        <f>H208+I208+2.5</f>
        <v>604.5</v>
      </c>
      <c r="I209" s="234">
        <v>135</v>
      </c>
      <c r="J209" s="234">
        <v>115</v>
      </c>
      <c r="K209" s="234">
        <v>1</v>
      </c>
      <c r="L209" s="234" t="s">
        <v>127</v>
      </c>
      <c r="M209" s="234" t="b">
        <v>1</v>
      </c>
      <c r="N209" s="235" t="s">
        <v>562</v>
      </c>
    </row>
    <row r="210" spans="1:14" x14ac:dyDescent="0.3">
      <c r="A210" s="231" t="s">
        <v>666</v>
      </c>
      <c r="B210" s="232" t="s">
        <v>665</v>
      </c>
      <c r="C210" s="233" t="s">
        <v>688</v>
      </c>
      <c r="D210" s="232"/>
      <c r="E210" s="232"/>
      <c r="F210" s="233" t="s">
        <v>688</v>
      </c>
      <c r="G210" s="234">
        <v>5</v>
      </c>
      <c r="H210" s="234">
        <f>H209+I209+2.5</f>
        <v>742</v>
      </c>
      <c r="I210" s="234">
        <v>420</v>
      </c>
      <c r="J210" s="234">
        <v>115</v>
      </c>
      <c r="K210" s="234">
        <v>3</v>
      </c>
      <c r="L210" s="234" t="s">
        <v>127</v>
      </c>
      <c r="M210" s="234" t="b">
        <v>1</v>
      </c>
      <c r="N210" s="235" t="s">
        <v>562</v>
      </c>
    </row>
  </sheetData>
  <dataValidations count="1">
    <dataValidation type="textLength" showInputMessage="1" showErrorMessage="1" sqref="F3:F210 A3:C210 Q3:T51" xr:uid="{D400B3A9-FB38-46C0-BF3A-E9A981161BB3}">
      <formula1>1</formula1>
      <formula2>31</formula2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11A84-D8D4-46C8-8E75-92704FBD46BC}">
  <sheetPr codeName="Sheet18">
    <tabColor theme="1" tint="4.9989318521683403E-2"/>
  </sheetPr>
  <dimension ref="B1:AF511"/>
  <sheetViews>
    <sheetView showGridLines="0" zoomScale="80" zoomScaleNormal="80" workbookViewId="0">
      <pane xSplit="1" ySplit="2" topLeftCell="B33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defaultColWidth="4.109375" defaultRowHeight="14.4" outlineLevelCol="1" x14ac:dyDescent="0.3"/>
  <cols>
    <col min="1" max="1" width="20" style="55" customWidth="1"/>
    <col min="2" max="2" width="23.33203125" style="55" customWidth="1"/>
    <col min="3" max="3" width="34" style="55" customWidth="1" outlineLevel="1"/>
    <col min="4" max="4" width="29.21875" style="55" customWidth="1" outlineLevel="1"/>
    <col min="5" max="5" width="20" style="55" customWidth="1"/>
    <col min="6" max="6" width="38.44140625" style="55" customWidth="1"/>
    <col min="7" max="7" width="39.21875" style="72" customWidth="1" outlineLevel="1"/>
    <col min="8" max="8" width="20" style="55" customWidth="1"/>
    <col min="9" max="9" width="34.5546875" style="55" bestFit="1" customWidth="1"/>
    <col min="10" max="10" width="35.33203125" style="55" customWidth="1" outlineLevel="1"/>
    <col min="11" max="11" width="28.21875" customWidth="1"/>
    <col min="12" max="13" width="25.21875" customWidth="1"/>
    <col min="14" max="14" width="31" bestFit="1" customWidth="1"/>
    <col min="15" max="15" width="25.21875" customWidth="1"/>
    <col min="16" max="16" width="20" style="55" customWidth="1"/>
    <col min="17" max="17" width="35.33203125" style="55" customWidth="1"/>
    <col min="18" max="18" width="25.33203125" style="55" customWidth="1" outlineLevel="1"/>
    <col min="19" max="19" width="24.5546875" style="55" customWidth="1" outlineLevel="1"/>
    <col min="20" max="23" width="20" style="55" customWidth="1" outlineLevel="1"/>
    <col min="24" max="24" width="20" bestFit="1" customWidth="1"/>
    <col min="25" max="25" width="20" customWidth="1"/>
    <col min="26" max="26" width="20" style="55" customWidth="1" outlineLevel="1"/>
    <col min="27" max="27" width="20" bestFit="1" customWidth="1"/>
    <col min="28" max="28" width="20" style="55" customWidth="1" outlineLevel="1"/>
    <col min="29" max="29" width="23.44140625" style="55" bestFit="1" customWidth="1" outlineLevel="1"/>
    <col min="30" max="30" width="44.33203125" style="55" customWidth="1" outlineLevel="1"/>
    <col min="31" max="31" width="4.109375" style="55" customWidth="1" outlineLevel="1"/>
    <col min="33" max="16384" width="4.109375" style="55"/>
  </cols>
  <sheetData>
    <row r="1" spans="2:30" ht="15.6" thickTop="1" thickBot="1" x14ac:dyDescent="0.35">
      <c r="B1" s="52" t="s">
        <v>61</v>
      </c>
      <c r="C1" s="53"/>
      <c r="D1" s="54"/>
      <c r="F1" s="56" t="s">
        <v>62</v>
      </c>
      <c r="G1" s="56"/>
      <c r="I1" s="45" t="s">
        <v>63</v>
      </c>
      <c r="J1" s="46"/>
      <c r="K1" s="46"/>
      <c r="L1" s="46"/>
      <c r="M1" s="47"/>
      <c r="N1" s="84"/>
      <c r="O1" s="84"/>
      <c r="Q1" s="57" t="s">
        <v>64</v>
      </c>
      <c r="R1" s="58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</row>
    <row r="2" spans="2:30" ht="49.2" thickTop="1" x14ac:dyDescent="0.3">
      <c r="B2" s="60" t="s">
        <v>65</v>
      </c>
      <c r="C2" s="61" t="s">
        <v>66</v>
      </c>
      <c r="D2" s="62" t="s">
        <v>67</v>
      </c>
      <c r="F2" s="89" t="s">
        <v>68</v>
      </c>
      <c r="G2" s="50" t="s">
        <v>69</v>
      </c>
      <c r="I2" s="89" t="s">
        <v>70</v>
      </c>
      <c r="J2" s="49" t="s">
        <v>51</v>
      </c>
      <c r="K2" s="50" t="s">
        <v>71</v>
      </c>
      <c r="L2" s="90" t="s">
        <v>439</v>
      </c>
      <c r="M2" s="91" t="s">
        <v>72</v>
      </c>
      <c r="N2" s="92" t="s">
        <v>131</v>
      </c>
      <c r="O2" s="92" t="s">
        <v>181</v>
      </c>
      <c r="Q2" s="60" t="s">
        <v>51</v>
      </c>
      <c r="R2" s="61" t="s">
        <v>73</v>
      </c>
      <c r="S2" s="61" t="s">
        <v>74</v>
      </c>
      <c r="T2" s="61" t="s">
        <v>75</v>
      </c>
      <c r="U2" s="61" t="s">
        <v>76</v>
      </c>
      <c r="V2" s="61" t="s">
        <v>77</v>
      </c>
      <c r="W2" s="61" t="s">
        <v>78</v>
      </c>
      <c r="X2" s="61" t="s">
        <v>79</v>
      </c>
      <c r="Y2" s="61" t="s">
        <v>80</v>
      </c>
      <c r="Z2" s="61" t="s">
        <v>81</v>
      </c>
      <c r="AA2" s="61" t="s">
        <v>82</v>
      </c>
      <c r="AB2" s="61" t="s">
        <v>83</v>
      </c>
      <c r="AC2" s="61" t="s">
        <v>84</v>
      </c>
      <c r="AD2" s="62" t="s">
        <v>85</v>
      </c>
    </row>
    <row r="3" spans="2:30" ht="28.8" customHeight="1" x14ac:dyDescent="0.3">
      <c r="B3" s="261" t="s">
        <v>86</v>
      </c>
      <c r="C3" s="260" t="s">
        <v>87</v>
      </c>
      <c r="D3" s="262"/>
      <c r="F3" s="272" t="s">
        <v>86</v>
      </c>
      <c r="G3" s="286" t="s">
        <v>88</v>
      </c>
      <c r="I3" s="305" t="s">
        <v>597</v>
      </c>
      <c r="J3" s="306" t="s">
        <v>598</v>
      </c>
      <c r="K3" s="306" t="s">
        <v>88</v>
      </c>
      <c r="L3" s="307" t="s">
        <v>36</v>
      </c>
      <c r="M3" s="293" t="s">
        <v>604</v>
      </c>
      <c r="N3" s="294" t="s">
        <v>132</v>
      </c>
      <c r="O3" s="294">
        <v>1</v>
      </c>
      <c r="Q3" s="113" t="s">
        <v>121</v>
      </c>
      <c r="R3" s="65" t="s">
        <v>34</v>
      </c>
      <c r="S3" s="65" t="s">
        <v>34</v>
      </c>
      <c r="T3" s="66"/>
      <c r="U3" s="66" t="s">
        <v>89</v>
      </c>
      <c r="V3" s="66">
        <v>1</v>
      </c>
      <c r="W3" s="66"/>
      <c r="X3" s="66"/>
      <c r="Y3" s="66"/>
      <c r="Z3" s="66"/>
      <c r="AA3" s="66"/>
      <c r="AB3" s="66"/>
      <c r="AC3" s="66"/>
      <c r="AD3" s="69"/>
    </row>
    <row r="4" spans="2:30" ht="28.8" customHeight="1" x14ac:dyDescent="0.3">
      <c r="B4" s="261" t="s">
        <v>86</v>
      </c>
      <c r="C4" s="260" t="s">
        <v>269</v>
      </c>
      <c r="D4" s="263" t="s">
        <v>448</v>
      </c>
      <c r="F4" s="272" t="s">
        <v>659</v>
      </c>
      <c r="G4" s="286" t="s">
        <v>88</v>
      </c>
      <c r="I4" s="305" t="s">
        <v>178</v>
      </c>
      <c r="J4" s="306" t="s">
        <v>179</v>
      </c>
      <c r="K4" s="306" t="s">
        <v>88</v>
      </c>
      <c r="L4" s="307" t="s">
        <v>36</v>
      </c>
      <c r="M4" s="293" t="s">
        <v>180</v>
      </c>
      <c r="N4" s="294" t="s">
        <v>132</v>
      </c>
      <c r="O4" s="294">
        <v>1</v>
      </c>
      <c r="Q4" s="113" t="s">
        <v>121</v>
      </c>
      <c r="R4" s="67" t="s">
        <v>87</v>
      </c>
      <c r="S4" s="67" t="s">
        <v>133</v>
      </c>
      <c r="T4" s="68" t="s">
        <v>134</v>
      </c>
      <c r="U4" s="68" t="s">
        <v>93</v>
      </c>
      <c r="V4" s="68"/>
      <c r="W4" s="68"/>
      <c r="X4" s="68"/>
      <c r="Y4" s="68"/>
      <c r="Z4" s="68"/>
      <c r="AA4" s="68"/>
      <c r="AB4" s="68"/>
      <c r="AC4" s="68"/>
      <c r="AD4" s="69" t="s">
        <v>293</v>
      </c>
    </row>
    <row r="5" spans="2:30" ht="28.8" customHeight="1" x14ac:dyDescent="0.3">
      <c r="B5" s="261" t="s">
        <v>86</v>
      </c>
      <c r="C5" s="260" t="s">
        <v>94</v>
      </c>
      <c r="D5" s="262" t="s">
        <v>95</v>
      </c>
      <c r="F5" s="272" t="s">
        <v>602</v>
      </c>
      <c r="G5" s="286" t="s">
        <v>603</v>
      </c>
      <c r="I5" s="305" t="s">
        <v>182</v>
      </c>
      <c r="J5" s="306" t="s">
        <v>183</v>
      </c>
      <c r="K5" s="306" t="s">
        <v>88</v>
      </c>
      <c r="L5" s="307" t="s">
        <v>36</v>
      </c>
      <c r="M5" s="293" t="s">
        <v>184</v>
      </c>
      <c r="N5" s="294" t="s">
        <v>132</v>
      </c>
      <c r="O5" s="294">
        <v>1</v>
      </c>
      <c r="Q5" s="113" t="s">
        <v>121</v>
      </c>
      <c r="R5" s="67" t="s">
        <v>125</v>
      </c>
      <c r="S5" s="67" t="s">
        <v>126</v>
      </c>
      <c r="T5" s="68" t="s">
        <v>92</v>
      </c>
      <c r="U5" s="68" t="s">
        <v>93</v>
      </c>
      <c r="V5" s="68"/>
      <c r="W5" s="68"/>
      <c r="X5" s="68"/>
      <c r="Y5" s="68"/>
      <c r="Z5" s="68"/>
      <c r="AA5" s="68"/>
      <c r="AB5" s="68"/>
      <c r="AC5" s="68"/>
      <c r="AD5" s="69" t="s">
        <v>293</v>
      </c>
    </row>
    <row r="6" spans="2:30" x14ac:dyDescent="0.3">
      <c r="B6" s="261" t="s">
        <v>86</v>
      </c>
      <c r="C6" s="260" t="s">
        <v>98</v>
      </c>
      <c r="D6" s="262" t="s">
        <v>99</v>
      </c>
      <c r="F6" s="272" t="s">
        <v>660</v>
      </c>
      <c r="G6" s="286" t="s">
        <v>603</v>
      </c>
      <c r="I6" s="308" t="s">
        <v>167</v>
      </c>
      <c r="J6" s="309" t="s">
        <v>168</v>
      </c>
      <c r="K6" s="309" t="s">
        <v>166</v>
      </c>
      <c r="L6" s="310" t="s">
        <v>169</v>
      </c>
      <c r="M6" s="298" t="s">
        <v>170</v>
      </c>
      <c r="N6" s="299" t="s">
        <v>132</v>
      </c>
      <c r="O6" s="299">
        <v>1</v>
      </c>
      <c r="Q6" s="113" t="s">
        <v>121</v>
      </c>
      <c r="R6" s="67" t="s">
        <v>125</v>
      </c>
      <c r="S6" s="67" t="s">
        <v>104</v>
      </c>
      <c r="T6" s="66" t="s">
        <v>92</v>
      </c>
      <c r="U6" s="66" t="s">
        <v>93</v>
      </c>
      <c r="V6" s="66"/>
      <c r="W6" s="66"/>
      <c r="X6" s="66"/>
      <c r="Y6" s="66"/>
      <c r="Z6" s="66"/>
      <c r="AA6" s="66"/>
      <c r="AB6" s="66"/>
      <c r="AC6" s="68" t="s">
        <v>135</v>
      </c>
      <c r="AD6" s="69" t="s">
        <v>294</v>
      </c>
    </row>
    <row r="7" spans="2:30" ht="28.8" customHeight="1" x14ac:dyDescent="0.3">
      <c r="B7" s="261" t="s">
        <v>86</v>
      </c>
      <c r="C7" s="260" t="s">
        <v>102</v>
      </c>
      <c r="D7" s="262" t="s">
        <v>103</v>
      </c>
      <c r="F7" s="272" t="s">
        <v>136</v>
      </c>
      <c r="G7" s="286" t="s">
        <v>137</v>
      </c>
      <c r="I7" s="308" t="s">
        <v>194</v>
      </c>
      <c r="J7" s="309" t="s">
        <v>195</v>
      </c>
      <c r="K7" s="309" t="s">
        <v>193</v>
      </c>
      <c r="L7" s="310" t="s">
        <v>169</v>
      </c>
      <c r="M7" s="298" t="s">
        <v>196</v>
      </c>
      <c r="N7" s="299" t="s">
        <v>132</v>
      </c>
      <c r="O7" s="299">
        <v>1</v>
      </c>
      <c r="Q7" s="113" t="s">
        <v>121</v>
      </c>
      <c r="R7" s="67" t="s">
        <v>122</v>
      </c>
      <c r="S7" s="67" t="s">
        <v>122</v>
      </c>
      <c r="T7" s="68"/>
      <c r="U7" s="68" t="s">
        <v>110</v>
      </c>
      <c r="V7" s="68">
        <v>1</v>
      </c>
      <c r="W7" s="68" t="s">
        <v>111</v>
      </c>
      <c r="X7" s="68">
        <v>0</v>
      </c>
      <c r="Y7" s="68">
        <v>1</v>
      </c>
      <c r="Z7" s="68">
        <v>1</v>
      </c>
      <c r="AA7" s="68" t="s">
        <v>112</v>
      </c>
      <c r="AB7" s="68" t="s">
        <v>34</v>
      </c>
      <c r="AC7" s="71"/>
      <c r="AD7" s="69"/>
    </row>
    <row r="8" spans="2:30" ht="28.8" customHeight="1" x14ac:dyDescent="0.3">
      <c r="B8" s="261" t="s">
        <v>86</v>
      </c>
      <c r="C8" s="260" t="s">
        <v>106</v>
      </c>
      <c r="D8" s="262" t="s">
        <v>107</v>
      </c>
      <c r="F8" s="272" t="s">
        <v>161</v>
      </c>
      <c r="G8" s="286" t="s">
        <v>166</v>
      </c>
      <c r="I8" s="308" t="s">
        <v>314</v>
      </c>
      <c r="J8" s="309" t="s">
        <v>309</v>
      </c>
      <c r="K8" s="309" t="s">
        <v>222</v>
      </c>
      <c r="L8" s="310" t="s">
        <v>36</v>
      </c>
      <c r="M8" s="298" t="s">
        <v>316</v>
      </c>
      <c r="N8" s="299" t="s">
        <v>132</v>
      </c>
      <c r="O8" s="299">
        <v>1</v>
      </c>
      <c r="Q8" s="113" t="s">
        <v>121</v>
      </c>
      <c r="R8" s="67" t="s">
        <v>108</v>
      </c>
      <c r="S8" s="67" t="s">
        <v>123</v>
      </c>
      <c r="T8" s="68"/>
      <c r="U8" s="68" t="s">
        <v>110</v>
      </c>
      <c r="V8" s="68">
        <v>2</v>
      </c>
      <c r="W8" s="68" t="s">
        <v>111</v>
      </c>
      <c r="X8" s="68">
        <v>0</v>
      </c>
      <c r="Y8" s="68">
        <v>1</v>
      </c>
      <c r="Z8" s="68">
        <v>1</v>
      </c>
      <c r="AA8" s="68" t="s">
        <v>112</v>
      </c>
      <c r="AB8" s="68" t="s">
        <v>34</v>
      </c>
      <c r="AC8" s="71"/>
      <c r="AD8" s="69"/>
    </row>
    <row r="9" spans="2:30" ht="28.8" customHeight="1" x14ac:dyDescent="0.3">
      <c r="B9" s="261" t="s">
        <v>86</v>
      </c>
      <c r="C9" s="260" t="s">
        <v>113</v>
      </c>
      <c r="D9" s="262" t="s">
        <v>114</v>
      </c>
      <c r="F9" s="272" t="s">
        <v>189</v>
      </c>
      <c r="G9" s="286" t="s">
        <v>193</v>
      </c>
      <c r="I9" s="308" t="s">
        <v>211</v>
      </c>
      <c r="J9" s="309" t="s">
        <v>212</v>
      </c>
      <c r="K9" s="309" t="s">
        <v>222</v>
      </c>
      <c r="L9" s="310" t="s">
        <v>36</v>
      </c>
      <c r="M9" s="298" t="s">
        <v>218</v>
      </c>
      <c r="N9" s="299" t="s">
        <v>132</v>
      </c>
      <c r="O9" s="299">
        <v>1</v>
      </c>
      <c r="Q9" s="113" t="s">
        <v>121</v>
      </c>
      <c r="R9" s="67" t="s">
        <v>115</v>
      </c>
      <c r="S9" s="67" t="s">
        <v>124</v>
      </c>
      <c r="T9" s="68"/>
      <c r="U9" s="68" t="s">
        <v>110</v>
      </c>
      <c r="V9" s="68">
        <v>3</v>
      </c>
      <c r="W9" s="68" t="s">
        <v>111</v>
      </c>
      <c r="X9" s="68">
        <v>0</v>
      </c>
      <c r="Y9" s="68">
        <v>1</v>
      </c>
      <c r="Z9" s="68">
        <v>1</v>
      </c>
      <c r="AA9" s="68" t="s">
        <v>112</v>
      </c>
      <c r="AB9" s="68" t="s">
        <v>7</v>
      </c>
      <c r="AC9" s="71"/>
      <c r="AD9" s="69"/>
    </row>
    <row r="10" spans="2:30" ht="28.8" x14ac:dyDescent="0.3">
      <c r="B10" s="261" t="s">
        <v>86</v>
      </c>
      <c r="C10" s="260" t="s">
        <v>8</v>
      </c>
      <c r="D10" s="262" t="s">
        <v>95</v>
      </c>
      <c r="F10" s="272" t="s">
        <v>259</v>
      </c>
      <c r="G10" s="286" t="s">
        <v>222</v>
      </c>
      <c r="I10" s="308" t="s">
        <v>445</v>
      </c>
      <c r="J10" s="309" t="s">
        <v>446</v>
      </c>
      <c r="K10" s="309" t="s">
        <v>222</v>
      </c>
      <c r="L10" s="310" t="s">
        <v>36</v>
      </c>
      <c r="M10" s="298" t="s">
        <v>447</v>
      </c>
      <c r="N10" s="299" t="s">
        <v>132</v>
      </c>
      <c r="O10" s="299">
        <v>1</v>
      </c>
      <c r="Q10" s="113" t="s">
        <v>121</v>
      </c>
      <c r="R10" s="67" t="s">
        <v>35</v>
      </c>
      <c r="S10" s="67" t="s">
        <v>35</v>
      </c>
      <c r="T10" s="68"/>
      <c r="U10" s="68" t="s">
        <v>110</v>
      </c>
      <c r="V10" s="68">
        <v>4</v>
      </c>
      <c r="W10" s="68" t="s">
        <v>111</v>
      </c>
      <c r="X10" s="68">
        <v>0</v>
      </c>
      <c r="Y10" s="68">
        <v>1</v>
      </c>
      <c r="Z10" s="68">
        <v>1</v>
      </c>
      <c r="AA10" s="68" t="s">
        <v>112</v>
      </c>
      <c r="AB10" s="68" t="s">
        <v>35</v>
      </c>
      <c r="AC10" s="71"/>
      <c r="AD10" s="69"/>
    </row>
    <row r="11" spans="2:30" ht="28.8" x14ac:dyDescent="0.3">
      <c r="B11" s="261" t="s">
        <v>86</v>
      </c>
      <c r="C11" s="260" t="s">
        <v>13</v>
      </c>
      <c r="D11" s="262" t="s">
        <v>95</v>
      </c>
      <c r="F11" s="272" t="s">
        <v>260</v>
      </c>
      <c r="G11" s="286" t="s">
        <v>223</v>
      </c>
      <c r="I11" s="308" t="s">
        <v>213</v>
      </c>
      <c r="J11" s="309" t="s">
        <v>214</v>
      </c>
      <c r="K11" s="309" t="s">
        <v>222</v>
      </c>
      <c r="L11" s="310" t="s">
        <v>36</v>
      </c>
      <c r="M11" s="298" t="s">
        <v>219</v>
      </c>
      <c r="N11" s="299" t="s">
        <v>132</v>
      </c>
      <c r="O11" s="299">
        <v>1</v>
      </c>
      <c r="Q11" s="114" t="s">
        <v>598</v>
      </c>
      <c r="R11" s="65" t="s">
        <v>34</v>
      </c>
      <c r="S11" s="65" t="s">
        <v>34</v>
      </c>
      <c r="T11" s="66"/>
      <c r="U11" s="66" t="s">
        <v>89</v>
      </c>
      <c r="V11" s="66">
        <v>1</v>
      </c>
      <c r="W11" s="66"/>
      <c r="X11" s="66"/>
      <c r="Y11" s="66"/>
      <c r="Z11" s="66"/>
      <c r="AA11" s="66"/>
      <c r="AB11" s="66"/>
      <c r="AC11" s="66"/>
      <c r="AD11" s="63"/>
    </row>
    <row r="12" spans="2:30" ht="28.8" x14ac:dyDescent="0.3">
      <c r="B12" s="261" t="s">
        <v>86</v>
      </c>
      <c r="C12" s="260" t="s">
        <v>9</v>
      </c>
      <c r="D12" s="262" t="s">
        <v>95</v>
      </c>
      <c r="F12" s="272" t="s">
        <v>258</v>
      </c>
      <c r="G12" s="286" t="s">
        <v>253</v>
      </c>
      <c r="I12" s="308" t="s">
        <v>262</v>
      </c>
      <c r="J12" s="309" t="s">
        <v>263</v>
      </c>
      <c r="K12" s="309" t="s">
        <v>222</v>
      </c>
      <c r="L12" s="310" t="s">
        <v>36</v>
      </c>
      <c r="M12" s="298" t="s">
        <v>268</v>
      </c>
      <c r="N12" s="299" t="s">
        <v>132</v>
      </c>
      <c r="O12" s="299">
        <v>1</v>
      </c>
      <c r="Q12" s="114" t="s">
        <v>598</v>
      </c>
      <c r="R12" s="67" t="s">
        <v>90</v>
      </c>
      <c r="S12" s="67" t="s">
        <v>91</v>
      </c>
      <c r="T12" s="68" t="s">
        <v>92</v>
      </c>
      <c r="U12" s="68" t="s">
        <v>93</v>
      </c>
      <c r="V12" s="68"/>
      <c r="W12" s="68"/>
      <c r="X12" s="68"/>
      <c r="Y12" s="68"/>
      <c r="Z12" s="68"/>
      <c r="AA12" s="68"/>
      <c r="AB12" s="68"/>
      <c r="AC12" s="68"/>
      <c r="AD12" s="69" t="s">
        <v>293</v>
      </c>
    </row>
    <row r="13" spans="2:30" ht="43.2" x14ac:dyDescent="0.3">
      <c r="B13" s="261" t="s">
        <v>86</v>
      </c>
      <c r="C13" s="260" t="s">
        <v>115</v>
      </c>
      <c r="D13" s="262"/>
      <c r="F13" s="287" t="s">
        <v>276</v>
      </c>
      <c r="G13" s="288" t="s">
        <v>278</v>
      </c>
      <c r="I13" s="308" t="s">
        <v>224</v>
      </c>
      <c r="J13" s="309" t="s">
        <v>225</v>
      </c>
      <c r="K13" s="309" t="s">
        <v>223</v>
      </c>
      <c r="L13" s="310" t="s">
        <v>36</v>
      </c>
      <c r="M13" s="298" t="s">
        <v>226</v>
      </c>
      <c r="N13" s="299" t="s">
        <v>132</v>
      </c>
      <c r="O13" s="299">
        <v>1</v>
      </c>
      <c r="Q13" s="114" t="s">
        <v>598</v>
      </c>
      <c r="R13" s="67" t="s">
        <v>96</v>
      </c>
      <c r="S13" s="67" t="s">
        <v>97</v>
      </c>
      <c r="T13" s="68" t="s">
        <v>92</v>
      </c>
      <c r="U13" s="68" t="s">
        <v>93</v>
      </c>
      <c r="V13" s="68"/>
      <c r="W13" s="68"/>
      <c r="X13" s="68"/>
      <c r="Y13" s="68"/>
      <c r="Z13" s="68"/>
      <c r="AA13" s="68"/>
      <c r="AB13" s="68"/>
      <c r="AC13" s="68"/>
      <c r="AD13" s="69" t="s">
        <v>293</v>
      </c>
    </row>
    <row r="14" spans="2:30" ht="43.2" x14ac:dyDescent="0.3">
      <c r="B14" s="261" t="s">
        <v>86</v>
      </c>
      <c r="C14" s="260" t="s">
        <v>108</v>
      </c>
      <c r="D14" s="262"/>
      <c r="F14" s="273" t="s">
        <v>436</v>
      </c>
      <c r="G14" s="289" t="s">
        <v>438</v>
      </c>
      <c r="I14" s="308" t="s">
        <v>227</v>
      </c>
      <c r="J14" s="309" t="s">
        <v>228</v>
      </c>
      <c r="K14" s="309" t="s">
        <v>223</v>
      </c>
      <c r="L14" s="310" t="s">
        <v>36</v>
      </c>
      <c r="M14" s="298" t="s">
        <v>229</v>
      </c>
      <c r="N14" s="299" t="s">
        <v>132</v>
      </c>
      <c r="O14" s="299">
        <v>1</v>
      </c>
      <c r="Q14" s="114" t="s">
        <v>598</v>
      </c>
      <c r="R14" s="67" t="s">
        <v>100</v>
      </c>
      <c r="S14" s="67" t="s">
        <v>101</v>
      </c>
      <c r="T14" s="68" t="s">
        <v>92</v>
      </c>
      <c r="U14" s="68" t="s">
        <v>93</v>
      </c>
      <c r="V14" s="68"/>
      <c r="W14" s="68"/>
      <c r="X14" s="68"/>
      <c r="Y14" s="68"/>
      <c r="Z14" s="68"/>
      <c r="AA14" s="68"/>
      <c r="AB14" s="68"/>
      <c r="AC14" s="68"/>
      <c r="AD14" s="69" t="s">
        <v>293</v>
      </c>
    </row>
    <row r="15" spans="2:30" ht="28.8" x14ac:dyDescent="0.3">
      <c r="B15" s="261" t="s">
        <v>86</v>
      </c>
      <c r="C15" s="260" t="s">
        <v>116</v>
      </c>
      <c r="D15" s="264"/>
      <c r="F15" s="273" t="s">
        <v>295</v>
      </c>
      <c r="G15" s="289" t="s">
        <v>301</v>
      </c>
      <c r="I15" s="308" t="s">
        <v>239</v>
      </c>
      <c r="J15" s="309" t="s">
        <v>240</v>
      </c>
      <c r="K15" s="309" t="s">
        <v>253</v>
      </c>
      <c r="L15" s="310" t="s">
        <v>36</v>
      </c>
      <c r="M15" s="298" t="s">
        <v>254</v>
      </c>
      <c r="N15" s="299" t="s">
        <v>132</v>
      </c>
      <c r="O15" s="299">
        <v>1</v>
      </c>
      <c r="Q15" s="114" t="s">
        <v>598</v>
      </c>
      <c r="R15" s="67" t="s">
        <v>108</v>
      </c>
      <c r="S15" s="67" t="s">
        <v>109</v>
      </c>
      <c r="T15" s="68"/>
      <c r="U15" s="68" t="s">
        <v>130</v>
      </c>
      <c r="V15" s="68">
        <v>2</v>
      </c>
      <c r="W15" s="68" t="s">
        <v>111</v>
      </c>
      <c r="X15" s="68">
        <v>0</v>
      </c>
      <c r="Y15" s="68">
        <v>1</v>
      </c>
      <c r="Z15" s="68">
        <v>1</v>
      </c>
      <c r="AA15" s="68"/>
      <c r="AB15" s="68"/>
      <c r="AC15" s="71"/>
      <c r="AD15" s="69"/>
    </row>
    <row r="16" spans="2:30" ht="28.8" customHeight="1" x14ac:dyDescent="0.3">
      <c r="B16" s="261" t="s">
        <v>86</v>
      </c>
      <c r="C16" s="260" t="s">
        <v>117</v>
      </c>
      <c r="D16" s="264"/>
      <c r="F16" s="273" t="s">
        <v>320</v>
      </c>
      <c r="G16" s="289" t="s">
        <v>321</v>
      </c>
      <c r="I16" s="308" t="s">
        <v>449</v>
      </c>
      <c r="J16" s="309" t="s">
        <v>450</v>
      </c>
      <c r="K16" s="309" t="s">
        <v>278</v>
      </c>
      <c r="L16" s="310" t="s">
        <v>36</v>
      </c>
      <c r="M16" s="298" t="s">
        <v>451</v>
      </c>
      <c r="N16" s="299" t="s">
        <v>132</v>
      </c>
      <c r="O16" s="299">
        <v>1</v>
      </c>
      <c r="Q16" s="114" t="s">
        <v>598</v>
      </c>
      <c r="R16" s="67" t="s">
        <v>115</v>
      </c>
      <c r="S16" s="67" t="s">
        <v>7</v>
      </c>
      <c r="T16" s="68"/>
      <c r="U16" s="68" t="s">
        <v>110</v>
      </c>
      <c r="V16" s="68">
        <v>1</v>
      </c>
      <c r="W16" s="68" t="s">
        <v>111</v>
      </c>
      <c r="X16" s="68">
        <v>0</v>
      </c>
      <c r="Y16" s="68">
        <v>1</v>
      </c>
      <c r="Z16" s="68">
        <v>1</v>
      </c>
      <c r="AA16" s="68" t="s">
        <v>112</v>
      </c>
      <c r="AB16" s="68" t="s">
        <v>7</v>
      </c>
      <c r="AC16" s="71"/>
      <c r="AD16" s="69"/>
    </row>
    <row r="17" spans="2:30" ht="28.8" customHeight="1" x14ac:dyDescent="0.3">
      <c r="B17" s="261" t="s">
        <v>86</v>
      </c>
      <c r="C17" s="265" t="s">
        <v>118</v>
      </c>
      <c r="D17" s="264" t="s">
        <v>140</v>
      </c>
      <c r="F17" s="273" t="s">
        <v>334</v>
      </c>
      <c r="G17" s="289" t="s">
        <v>333</v>
      </c>
      <c r="I17" s="308" t="s">
        <v>274</v>
      </c>
      <c r="J17" s="309" t="s">
        <v>275</v>
      </c>
      <c r="K17" s="309" t="s">
        <v>278</v>
      </c>
      <c r="L17" s="310" t="s">
        <v>36</v>
      </c>
      <c r="M17" s="298" t="s">
        <v>254</v>
      </c>
      <c r="N17" s="299" t="s">
        <v>132</v>
      </c>
      <c r="O17" s="299">
        <v>1</v>
      </c>
      <c r="Q17" s="114" t="s">
        <v>598</v>
      </c>
      <c r="R17" s="67" t="s">
        <v>35</v>
      </c>
      <c r="S17" s="67" t="s">
        <v>35</v>
      </c>
      <c r="T17" s="68"/>
      <c r="U17" s="68" t="s">
        <v>110</v>
      </c>
      <c r="V17" s="68">
        <v>2</v>
      </c>
      <c r="W17" s="68" t="s">
        <v>111</v>
      </c>
      <c r="X17" s="68">
        <v>0</v>
      </c>
      <c r="Y17" s="68">
        <v>1</v>
      </c>
      <c r="Z17" s="68">
        <v>1</v>
      </c>
      <c r="AA17" s="68" t="s">
        <v>112</v>
      </c>
      <c r="AB17" s="68" t="s">
        <v>35</v>
      </c>
      <c r="AC17" s="71"/>
      <c r="AD17" s="69"/>
    </row>
    <row r="18" spans="2:30" ht="43.2" x14ac:dyDescent="0.3">
      <c r="B18" s="261" t="s">
        <v>86</v>
      </c>
      <c r="C18" s="265" t="s">
        <v>90</v>
      </c>
      <c r="D18" s="264"/>
      <c r="F18" s="273" t="s">
        <v>661</v>
      </c>
      <c r="G18" s="289" t="s">
        <v>333</v>
      </c>
      <c r="I18" s="308" t="s">
        <v>433</v>
      </c>
      <c r="J18" s="309" t="s">
        <v>434</v>
      </c>
      <c r="K18" s="309" t="s">
        <v>438</v>
      </c>
      <c r="L18" s="310" t="s">
        <v>36</v>
      </c>
      <c r="M18" s="298" t="s">
        <v>303</v>
      </c>
      <c r="N18" s="299" t="s">
        <v>380</v>
      </c>
      <c r="O18" s="299">
        <v>1</v>
      </c>
      <c r="Q18" s="115" t="s">
        <v>179</v>
      </c>
      <c r="R18" s="99" t="s">
        <v>34</v>
      </c>
      <c r="S18" s="99" t="s">
        <v>34</v>
      </c>
      <c r="T18" s="97"/>
      <c r="U18" s="97" t="s">
        <v>89</v>
      </c>
      <c r="V18" s="97">
        <v>1</v>
      </c>
      <c r="W18" s="97"/>
      <c r="X18" s="97"/>
      <c r="Y18" s="97"/>
      <c r="Z18" s="97"/>
      <c r="AA18" s="97"/>
      <c r="AB18" s="97"/>
      <c r="AC18" s="97"/>
      <c r="AD18" s="98"/>
    </row>
    <row r="19" spans="2:30" ht="43.2" x14ac:dyDescent="0.3">
      <c r="B19" s="261" t="s">
        <v>86</v>
      </c>
      <c r="C19" s="265" t="s">
        <v>96</v>
      </c>
      <c r="D19" s="264"/>
      <c r="F19" s="273" t="s">
        <v>348</v>
      </c>
      <c r="G19" s="289" t="s">
        <v>350</v>
      </c>
      <c r="I19" s="308" t="s">
        <v>435</v>
      </c>
      <c r="J19" s="309" t="s">
        <v>302</v>
      </c>
      <c r="K19" s="309" t="s">
        <v>301</v>
      </c>
      <c r="L19" s="310" t="s">
        <v>36</v>
      </c>
      <c r="M19" s="298" t="s">
        <v>303</v>
      </c>
      <c r="N19" s="299" t="s">
        <v>380</v>
      </c>
      <c r="O19" s="299">
        <v>1</v>
      </c>
      <c r="Q19" s="115" t="s">
        <v>179</v>
      </c>
      <c r="R19" s="100" t="s">
        <v>90</v>
      </c>
      <c r="S19" s="100" t="s">
        <v>91</v>
      </c>
      <c r="T19" s="94" t="s">
        <v>92</v>
      </c>
      <c r="U19" s="94" t="s">
        <v>93</v>
      </c>
      <c r="V19" s="94"/>
      <c r="W19" s="94"/>
      <c r="X19" s="94"/>
      <c r="Y19" s="94"/>
      <c r="Z19" s="94"/>
      <c r="AA19" s="94"/>
      <c r="AB19" s="94"/>
      <c r="AC19" s="94"/>
      <c r="AD19" s="96" t="s">
        <v>293</v>
      </c>
    </row>
    <row r="20" spans="2:30" ht="43.2" x14ac:dyDescent="0.3">
      <c r="B20" s="261" t="s">
        <v>86</v>
      </c>
      <c r="C20" s="265" t="s">
        <v>100</v>
      </c>
      <c r="D20" s="262"/>
      <c r="F20" s="273" t="s">
        <v>662</v>
      </c>
      <c r="G20" s="289" t="s">
        <v>350</v>
      </c>
      <c r="I20" s="308" t="s">
        <v>322</v>
      </c>
      <c r="J20" s="309" t="s">
        <v>323</v>
      </c>
      <c r="K20" s="309" t="s">
        <v>321</v>
      </c>
      <c r="L20" s="310" t="s">
        <v>36</v>
      </c>
      <c r="M20" s="298" t="s">
        <v>324</v>
      </c>
      <c r="N20" s="299" t="s">
        <v>132</v>
      </c>
      <c r="O20" s="299">
        <v>1</v>
      </c>
      <c r="Q20" s="115" t="s">
        <v>179</v>
      </c>
      <c r="R20" s="100" t="s">
        <v>96</v>
      </c>
      <c r="S20" s="100" t="s">
        <v>97</v>
      </c>
      <c r="T20" s="94" t="s">
        <v>92</v>
      </c>
      <c r="U20" s="94" t="s">
        <v>93</v>
      </c>
      <c r="V20" s="94"/>
      <c r="W20" s="94"/>
      <c r="X20" s="94"/>
      <c r="Y20" s="94"/>
      <c r="Z20" s="94"/>
      <c r="AA20" s="94"/>
      <c r="AB20" s="94"/>
      <c r="AC20" s="94"/>
      <c r="AD20" s="96" t="s">
        <v>293</v>
      </c>
    </row>
    <row r="21" spans="2:30" ht="43.2" x14ac:dyDescent="0.3">
      <c r="B21" s="266" t="s">
        <v>86</v>
      </c>
      <c r="C21" s="265" t="s">
        <v>34</v>
      </c>
      <c r="D21" s="264" t="s">
        <v>156</v>
      </c>
      <c r="F21" s="273" t="s">
        <v>396</v>
      </c>
      <c r="G21" s="289" t="s">
        <v>397</v>
      </c>
      <c r="I21" s="308" t="s">
        <v>420</v>
      </c>
      <c r="J21" s="309" t="s">
        <v>421</v>
      </c>
      <c r="K21" s="309" t="s">
        <v>422</v>
      </c>
      <c r="L21" s="310" t="s">
        <v>36</v>
      </c>
      <c r="M21" s="298" t="s">
        <v>324</v>
      </c>
      <c r="N21" s="299" t="s">
        <v>132</v>
      </c>
      <c r="O21" s="299">
        <v>1</v>
      </c>
      <c r="Q21" s="115" t="s">
        <v>179</v>
      </c>
      <c r="R21" s="100" t="s">
        <v>100</v>
      </c>
      <c r="S21" s="100" t="s">
        <v>101</v>
      </c>
      <c r="T21" s="94" t="s">
        <v>92</v>
      </c>
      <c r="U21" s="94" t="s">
        <v>93</v>
      </c>
      <c r="V21" s="94"/>
      <c r="W21" s="94"/>
      <c r="X21" s="94"/>
      <c r="Y21" s="94"/>
      <c r="Z21" s="94"/>
      <c r="AA21" s="94"/>
      <c r="AB21" s="94"/>
      <c r="AC21" s="94"/>
      <c r="AD21" s="96" t="s">
        <v>293</v>
      </c>
    </row>
    <row r="22" spans="2:30" ht="43.2" x14ac:dyDescent="0.3">
      <c r="B22" s="266" t="s">
        <v>86</v>
      </c>
      <c r="C22" s="265" t="s">
        <v>119</v>
      </c>
      <c r="D22" s="264" t="s">
        <v>440</v>
      </c>
      <c r="F22" s="273" t="s">
        <v>414</v>
      </c>
      <c r="G22" s="289" t="s">
        <v>415</v>
      </c>
      <c r="I22" s="308" t="s">
        <v>331</v>
      </c>
      <c r="J22" s="309" t="s">
        <v>332</v>
      </c>
      <c r="K22" s="309" t="s">
        <v>333</v>
      </c>
      <c r="L22" s="310" t="s">
        <v>36</v>
      </c>
      <c r="M22" s="298" t="s">
        <v>345</v>
      </c>
      <c r="N22" s="299" t="s">
        <v>380</v>
      </c>
      <c r="O22" s="299">
        <v>1</v>
      </c>
      <c r="Q22" s="115" t="s">
        <v>179</v>
      </c>
      <c r="R22" s="100" t="s">
        <v>108</v>
      </c>
      <c r="S22" s="100" t="s">
        <v>109</v>
      </c>
      <c r="T22" s="94"/>
      <c r="U22" s="94" t="s">
        <v>130</v>
      </c>
      <c r="V22" s="94">
        <v>2</v>
      </c>
      <c r="W22" s="94" t="s">
        <v>111</v>
      </c>
      <c r="X22" s="94">
        <v>0</v>
      </c>
      <c r="Y22" s="94">
        <v>1</v>
      </c>
      <c r="Z22" s="94">
        <v>1</v>
      </c>
      <c r="AA22" s="94"/>
      <c r="AB22" s="94"/>
      <c r="AC22" s="95"/>
      <c r="AD22" s="96"/>
    </row>
    <row r="23" spans="2:30" ht="28.8" x14ac:dyDescent="0.3">
      <c r="B23" s="266" t="s">
        <v>86</v>
      </c>
      <c r="C23" s="265" t="s">
        <v>45</v>
      </c>
      <c r="D23" s="264" t="s">
        <v>158</v>
      </c>
      <c r="F23" s="273" t="s">
        <v>419</v>
      </c>
      <c r="G23" s="289" t="s">
        <v>422</v>
      </c>
      <c r="I23" s="308" t="s">
        <v>351</v>
      </c>
      <c r="J23" s="309" t="s">
        <v>352</v>
      </c>
      <c r="K23" s="309" t="s">
        <v>350</v>
      </c>
      <c r="L23" s="310" t="s">
        <v>36</v>
      </c>
      <c r="M23" s="298" t="s">
        <v>353</v>
      </c>
      <c r="N23" s="299" t="s">
        <v>380</v>
      </c>
      <c r="O23" s="299">
        <v>1</v>
      </c>
      <c r="Q23" s="115" t="s">
        <v>179</v>
      </c>
      <c r="R23" s="100" t="s">
        <v>115</v>
      </c>
      <c r="S23" s="100" t="s">
        <v>7</v>
      </c>
      <c r="T23" s="94"/>
      <c r="U23" s="94" t="s">
        <v>130</v>
      </c>
      <c r="V23" s="94">
        <v>3</v>
      </c>
      <c r="W23" s="94" t="s">
        <v>111</v>
      </c>
      <c r="X23" s="94">
        <v>0</v>
      </c>
      <c r="Y23" s="94">
        <v>1</v>
      </c>
      <c r="Z23" s="94">
        <v>1</v>
      </c>
      <c r="AA23" s="94" t="s">
        <v>112</v>
      </c>
      <c r="AB23" s="94" t="s">
        <v>7</v>
      </c>
      <c r="AC23" s="95"/>
      <c r="AD23" s="96"/>
    </row>
    <row r="24" spans="2:30" ht="28.8" x14ac:dyDescent="0.3">
      <c r="B24" s="266" t="s">
        <v>86</v>
      </c>
      <c r="C24" s="265" t="s">
        <v>35</v>
      </c>
      <c r="D24" s="264" t="s">
        <v>159</v>
      </c>
      <c r="F24" s="287" t="s">
        <v>284</v>
      </c>
      <c r="G24" s="289" t="s">
        <v>461</v>
      </c>
      <c r="I24" s="308" t="s">
        <v>398</v>
      </c>
      <c r="J24" s="309" t="s">
        <v>399</v>
      </c>
      <c r="K24" s="309" t="s">
        <v>397</v>
      </c>
      <c r="L24" s="310" t="s">
        <v>36</v>
      </c>
      <c r="M24" s="298" t="s">
        <v>400</v>
      </c>
      <c r="N24" s="299" t="s">
        <v>380</v>
      </c>
      <c r="O24" s="299">
        <v>1</v>
      </c>
      <c r="Q24" s="115" t="s">
        <v>179</v>
      </c>
      <c r="R24" s="100" t="s">
        <v>35</v>
      </c>
      <c r="S24" s="100" t="s">
        <v>35</v>
      </c>
      <c r="T24" s="94"/>
      <c r="U24" s="94" t="s">
        <v>110</v>
      </c>
      <c r="V24" s="94">
        <v>1</v>
      </c>
      <c r="W24" s="94" t="s">
        <v>111</v>
      </c>
      <c r="X24" s="94">
        <v>0</v>
      </c>
      <c r="Y24" s="94">
        <v>1</v>
      </c>
      <c r="Z24" s="94">
        <v>1</v>
      </c>
      <c r="AA24" s="94" t="s">
        <v>112</v>
      </c>
      <c r="AB24" s="94" t="s">
        <v>35</v>
      </c>
      <c r="AC24" s="95"/>
      <c r="AD24" s="96"/>
    </row>
    <row r="25" spans="2:30" ht="28.8" x14ac:dyDescent="0.3">
      <c r="B25" s="267" t="s">
        <v>136</v>
      </c>
      <c r="C25" s="265" t="s">
        <v>7</v>
      </c>
      <c r="D25" s="264"/>
      <c r="F25" s="290" t="s">
        <v>286</v>
      </c>
      <c r="G25" s="291" t="s">
        <v>460</v>
      </c>
      <c r="I25" s="308" t="s">
        <v>416</v>
      </c>
      <c r="J25" s="309" t="s">
        <v>417</v>
      </c>
      <c r="K25" s="309" t="s">
        <v>415</v>
      </c>
      <c r="L25" s="310" t="s">
        <v>36</v>
      </c>
      <c r="M25" s="298" t="s">
        <v>418</v>
      </c>
      <c r="N25" s="299" t="s">
        <v>380</v>
      </c>
      <c r="O25" s="299">
        <v>1</v>
      </c>
      <c r="Q25" s="115" t="s">
        <v>179</v>
      </c>
      <c r="R25" s="100" t="s">
        <v>45</v>
      </c>
      <c r="S25" s="100" t="s">
        <v>45</v>
      </c>
      <c r="T25" s="94"/>
      <c r="U25" s="94" t="s">
        <v>110</v>
      </c>
      <c r="V25" s="94">
        <v>2</v>
      </c>
      <c r="W25" s="94" t="s">
        <v>111</v>
      </c>
      <c r="X25" s="94">
        <v>0</v>
      </c>
      <c r="Y25" s="94">
        <v>1</v>
      </c>
      <c r="Z25" s="94">
        <v>1</v>
      </c>
      <c r="AA25" s="94" t="s">
        <v>112</v>
      </c>
      <c r="AB25" s="94" t="s">
        <v>45</v>
      </c>
      <c r="AC25" s="95"/>
      <c r="AD25" s="96"/>
    </row>
    <row r="26" spans="2:30" ht="43.2" x14ac:dyDescent="0.3">
      <c r="B26" s="266" t="s">
        <v>136</v>
      </c>
      <c r="C26" s="265" t="s">
        <v>141</v>
      </c>
      <c r="D26" s="264"/>
      <c r="F26" s="287" t="s">
        <v>287</v>
      </c>
      <c r="G26" s="289" t="s">
        <v>461</v>
      </c>
      <c r="I26" s="308" t="s">
        <v>497</v>
      </c>
      <c r="J26" s="309" t="s">
        <v>498</v>
      </c>
      <c r="K26" s="309" t="s">
        <v>460</v>
      </c>
      <c r="L26" s="310" t="s">
        <v>36</v>
      </c>
      <c r="M26" s="298" t="s">
        <v>517</v>
      </c>
      <c r="N26" s="299" t="s">
        <v>380</v>
      </c>
      <c r="O26" s="299">
        <v>1</v>
      </c>
      <c r="Q26" s="116" t="s">
        <v>183</v>
      </c>
      <c r="R26" s="101" t="s">
        <v>34</v>
      </c>
      <c r="S26" s="101" t="s">
        <v>34</v>
      </c>
      <c r="T26" s="102"/>
      <c r="U26" s="102" t="s">
        <v>89</v>
      </c>
      <c r="V26" s="102">
        <v>1</v>
      </c>
      <c r="W26" s="102"/>
      <c r="X26" s="102"/>
      <c r="Y26" s="102"/>
      <c r="Z26" s="102"/>
      <c r="AA26" s="102"/>
      <c r="AB26" s="102"/>
      <c r="AC26" s="102"/>
      <c r="AD26" s="103"/>
    </row>
    <row r="27" spans="2:30" ht="28.8" x14ac:dyDescent="0.3">
      <c r="B27" s="266" t="s">
        <v>136</v>
      </c>
      <c r="C27" s="265" t="s">
        <v>142</v>
      </c>
      <c r="D27" s="264"/>
      <c r="F27" s="290" t="s">
        <v>288</v>
      </c>
      <c r="G27" s="291" t="s">
        <v>460</v>
      </c>
      <c r="I27" s="308" t="s">
        <v>499</v>
      </c>
      <c r="J27" s="309" t="s">
        <v>500</v>
      </c>
      <c r="K27" s="309" t="s">
        <v>461</v>
      </c>
      <c r="L27" s="310" t="s">
        <v>36</v>
      </c>
      <c r="M27" s="298" t="s">
        <v>518</v>
      </c>
      <c r="N27" s="299" t="s">
        <v>380</v>
      </c>
      <c r="O27" s="299">
        <v>1</v>
      </c>
      <c r="Q27" s="116" t="s">
        <v>183</v>
      </c>
      <c r="R27" s="101" t="s">
        <v>87</v>
      </c>
      <c r="S27" s="101" t="s">
        <v>292</v>
      </c>
      <c r="T27" s="68" t="s">
        <v>134</v>
      </c>
      <c r="U27" s="68" t="s">
        <v>93</v>
      </c>
      <c r="V27" s="68"/>
      <c r="W27" s="68"/>
      <c r="X27" s="68"/>
      <c r="Y27" s="68"/>
      <c r="Z27" s="68"/>
      <c r="AA27" s="68"/>
      <c r="AB27" s="68"/>
      <c r="AC27" s="68"/>
      <c r="AD27" s="69" t="s">
        <v>293</v>
      </c>
    </row>
    <row r="28" spans="2:30" ht="43.2" x14ac:dyDescent="0.3">
      <c r="B28" s="266" t="s">
        <v>136</v>
      </c>
      <c r="C28" s="265" t="s">
        <v>144</v>
      </c>
      <c r="D28" s="264"/>
      <c r="F28" s="287" t="s">
        <v>283</v>
      </c>
      <c r="G28" s="289" t="s">
        <v>461</v>
      </c>
      <c r="I28" s="308" t="s">
        <v>519</v>
      </c>
      <c r="J28" s="309" t="s">
        <v>520</v>
      </c>
      <c r="K28" s="309" t="s">
        <v>465</v>
      </c>
      <c r="L28" s="310" t="s">
        <v>36</v>
      </c>
      <c r="M28" s="298" t="s">
        <v>521</v>
      </c>
      <c r="N28" s="299" t="s">
        <v>380</v>
      </c>
      <c r="O28" s="299">
        <v>1</v>
      </c>
      <c r="Q28" s="116" t="s">
        <v>183</v>
      </c>
      <c r="R28" s="104" t="s">
        <v>8</v>
      </c>
      <c r="S28" s="104" t="s">
        <v>91</v>
      </c>
      <c r="T28" s="105" t="s">
        <v>92</v>
      </c>
      <c r="U28" s="105" t="s">
        <v>93</v>
      </c>
      <c r="V28" s="105"/>
      <c r="W28" s="105"/>
      <c r="X28" s="105"/>
      <c r="Y28" s="105"/>
      <c r="Z28" s="105"/>
      <c r="AA28" s="105"/>
      <c r="AB28" s="105"/>
      <c r="AC28" s="105"/>
      <c r="AD28" s="106" t="s">
        <v>293</v>
      </c>
    </row>
    <row r="29" spans="2:30" ht="28.8" x14ac:dyDescent="0.3">
      <c r="B29" s="266" t="s">
        <v>136</v>
      </c>
      <c r="C29" s="265" t="s">
        <v>146</v>
      </c>
      <c r="D29" s="264"/>
      <c r="F29" s="290" t="s">
        <v>285</v>
      </c>
      <c r="G29" s="291" t="s">
        <v>460</v>
      </c>
      <c r="I29" s="308" t="s">
        <v>522</v>
      </c>
      <c r="J29" s="311" t="s">
        <v>523</v>
      </c>
      <c r="K29" s="309" t="s">
        <v>464</v>
      </c>
      <c r="L29" s="310" t="s">
        <v>36</v>
      </c>
      <c r="M29" s="298" t="s">
        <v>524</v>
      </c>
      <c r="N29" s="299" t="s">
        <v>380</v>
      </c>
      <c r="O29" s="299">
        <v>1</v>
      </c>
      <c r="Q29" s="116" t="s">
        <v>183</v>
      </c>
      <c r="R29" s="104" t="s">
        <v>13</v>
      </c>
      <c r="S29" s="104" t="s">
        <v>97</v>
      </c>
      <c r="T29" s="105" t="s">
        <v>92</v>
      </c>
      <c r="U29" s="105" t="s">
        <v>93</v>
      </c>
      <c r="V29" s="105"/>
      <c r="W29" s="105"/>
      <c r="X29" s="105"/>
      <c r="Y29" s="105"/>
      <c r="Z29" s="105"/>
      <c r="AA29" s="105"/>
      <c r="AB29" s="105"/>
      <c r="AC29" s="105"/>
      <c r="AD29" s="106" t="s">
        <v>293</v>
      </c>
    </row>
    <row r="30" spans="2:30" ht="57.6" x14ac:dyDescent="0.3">
      <c r="B30" s="267" t="s">
        <v>136</v>
      </c>
      <c r="C30" s="265" t="s">
        <v>147</v>
      </c>
      <c r="D30" s="263" t="s">
        <v>148</v>
      </c>
      <c r="F30" s="290" t="s">
        <v>458</v>
      </c>
      <c r="G30" s="291" t="s">
        <v>462</v>
      </c>
      <c r="I30" s="308" t="s">
        <v>549</v>
      </c>
      <c r="J30" s="309" t="s">
        <v>550</v>
      </c>
      <c r="K30" s="309" t="s">
        <v>618</v>
      </c>
      <c r="L30" s="310" t="s">
        <v>36</v>
      </c>
      <c r="M30" s="298" t="s">
        <v>551</v>
      </c>
      <c r="N30" s="299" t="s">
        <v>380</v>
      </c>
      <c r="O30" s="299">
        <v>1</v>
      </c>
      <c r="Q30" s="116" t="s">
        <v>183</v>
      </c>
      <c r="R30" s="104" t="s">
        <v>9</v>
      </c>
      <c r="S30" s="104" t="s">
        <v>101</v>
      </c>
      <c r="T30" s="105" t="s">
        <v>92</v>
      </c>
      <c r="U30" s="105" t="s">
        <v>93</v>
      </c>
      <c r="V30" s="105"/>
      <c r="W30" s="105"/>
      <c r="X30" s="105"/>
      <c r="Y30" s="105"/>
      <c r="Z30" s="105"/>
      <c r="AA30" s="105"/>
      <c r="AB30" s="105"/>
      <c r="AC30" s="105"/>
      <c r="AD30" s="106" t="s">
        <v>293</v>
      </c>
    </row>
    <row r="31" spans="2:30" ht="57.6" x14ac:dyDescent="0.3">
      <c r="B31" s="267" t="s">
        <v>136</v>
      </c>
      <c r="C31" s="265" t="s">
        <v>149</v>
      </c>
      <c r="D31" s="263" t="s">
        <v>150</v>
      </c>
      <c r="F31" s="290" t="s">
        <v>459</v>
      </c>
      <c r="G31" s="291" t="s">
        <v>463</v>
      </c>
      <c r="I31" s="308" t="s">
        <v>578</v>
      </c>
      <c r="J31" s="309" t="s">
        <v>579</v>
      </c>
      <c r="K31" s="309" t="s">
        <v>577</v>
      </c>
      <c r="L31" s="310" t="s">
        <v>36</v>
      </c>
      <c r="M31" s="298" t="s">
        <v>580</v>
      </c>
      <c r="N31" s="299" t="s">
        <v>380</v>
      </c>
      <c r="O31" s="299">
        <v>1</v>
      </c>
      <c r="Q31" s="116" t="s">
        <v>183</v>
      </c>
      <c r="R31" s="104" t="s">
        <v>9</v>
      </c>
      <c r="S31" s="104" t="s">
        <v>104</v>
      </c>
      <c r="T31" s="105" t="s">
        <v>92</v>
      </c>
      <c r="U31" s="105" t="s">
        <v>93</v>
      </c>
      <c r="V31" s="105"/>
      <c r="W31" s="105"/>
      <c r="X31" s="105"/>
      <c r="Y31" s="105"/>
      <c r="Z31" s="105"/>
      <c r="AA31" s="105"/>
      <c r="AB31" s="105"/>
      <c r="AC31" s="105" t="s">
        <v>105</v>
      </c>
      <c r="AD31" s="106" t="s">
        <v>294</v>
      </c>
    </row>
    <row r="32" spans="2:30" ht="28.8" x14ac:dyDescent="0.3">
      <c r="B32" s="267" t="s">
        <v>136</v>
      </c>
      <c r="C32" s="265" t="s">
        <v>151</v>
      </c>
      <c r="D32" s="263" t="s">
        <v>140</v>
      </c>
      <c r="F32" s="290" t="s">
        <v>455</v>
      </c>
      <c r="G32" s="289" t="s">
        <v>464</v>
      </c>
      <c r="I32" s="308" t="s">
        <v>599</v>
      </c>
      <c r="J32" s="309" t="s">
        <v>600</v>
      </c>
      <c r="K32" s="309" t="s">
        <v>603</v>
      </c>
      <c r="L32" s="310" t="s">
        <v>36</v>
      </c>
      <c r="M32" s="298" t="s">
        <v>605</v>
      </c>
      <c r="N32" s="299" t="s">
        <v>380</v>
      </c>
      <c r="O32" s="299">
        <v>1</v>
      </c>
      <c r="Q32" s="116" t="s">
        <v>183</v>
      </c>
      <c r="R32" s="104" t="s">
        <v>108</v>
      </c>
      <c r="S32" s="104" t="s">
        <v>109</v>
      </c>
      <c r="T32" s="105"/>
      <c r="U32" s="105" t="s">
        <v>130</v>
      </c>
      <c r="V32" s="105">
        <v>2</v>
      </c>
      <c r="W32" s="105" t="s">
        <v>111</v>
      </c>
      <c r="X32" s="105">
        <v>0</v>
      </c>
      <c r="Y32" s="105">
        <v>1</v>
      </c>
      <c r="Z32" s="105">
        <v>1</v>
      </c>
      <c r="AA32" s="105"/>
      <c r="AB32" s="105"/>
      <c r="AC32" s="107"/>
      <c r="AD32" s="106"/>
    </row>
    <row r="33" spans="2:30" ht="43.2" x14ac:dyDescent="0.3">
      <c r="B33" s="267" t="s">
        <v>136</v>
      </c>
      <c r="C33" s="265" t="s">
        <v>145</v>
      </c>
      <c r="D33" s="263" t="s">
        <v>152</v>
      </c>
      <c r="F33" s="290" t="s">
        <v>456</v>
      </c>
      <c r="G33" s="291" t="s">
        <v>465</v>
      </c>
      <c r="I33" s="295" t="s">
        <v>578</v>
      </c>
      <c r="J33" s="296" t="s">
        <v>579</v>
      </c>
      <c r="K33" s="296" t="s">
        <v>577</v>
      </c>
      <c r="L33" s="297" t="s">
        <v>36</v>
      </c>
      <c r="M33" s="298" t="s">
        <v>580</v>
      </c>
      <c r="N33" s="299" t="s">
        <v>380</v>
      </c>
      <c r="O33" s="299">
        <v>1</v>
      </c>
      <c r="Q33" s="116" t="s">
        <v>183</v>
      </c>
      <c r="R33" s="104" t="s">
        <v>115</v>
      </c>
      <c r="S33" s="104" t="s">
        <v>7</v>
      </c>
      <c r="T33" s="105"/>
      <c r="U33" s="105" t="s">
        <v>110</v>
      </c>
      <c r="V33" s="105">
        <v>1</v>
      </c>
      <c r="W33" s="105" t="s">
        <v>111</v>
      </c>
      <c r="X33" s="105">
        <v>0</v>
      </c>
      <c r="Y33" s="105">
        <v>1</v>
      </c>
      <c r="Z33" s="105">
        <v>1</v>
      </c>
      <c r="AA33" s="105" t="s">
        <v>112</v>
      </c>
      <c r="AB33" s="105" t="s">
        <v>7</v>
      </c>
      <c r="AC33" s="107"/>
      <c r="AD33" s="106"/>
    </row>
    <row r="34" spans="2:30" ht="43.2" x14ac:dyDescent="0.3">
      <c r="B34" s="267" t="s">
        <v>136</v>
      </c>
      <c r="C34" s="265" t="s">
        <v>143</v>
      </c>
      <c r="D34" s="263" t="s">
        <v>153</v>
      </c>
      <c r="F34" s="292" t="s">
        <v>457</v>
      </c>
      <c r="G34" s="291" t="s">
        <v>466</v>
      </c>
      <c r="I34" s="308" t="s">
        <v>613</v>
      </c>
      <c r="J34" s="309" t="s">
        <v>614</v>
      </c>
      <c r="K34" s="309" t="s">
        <v>619</v>
      </c>
      <c r="L34" s="310" t="s">
        <v>36</v>
      </c>
      <c r="M34" s="298" t="s">
        <v>620</v>
      </c>
      <c r="N34" s="299" t="s">
        <v>380</v>
      </c>
      <c r="O34" s="299">
        <v>1</v>
      </c>
      <c r="Q34" s="116" t="s">
        <v>183</v>
      </c>
      <c r="R34" s="104" t="s">
        <v>98</v>
      </c>
      <c r="S34" s="104" t="s">
        <v>98</v>
      </c>
      <c r="T34" s="105"/>
      <c r="U34" s="105" t="s">
        <v>110</v>
      </c>
      <c r="V34" s="105">
        <v>2</v>
      </c>
      <c r="W34" s="105" t="s">
        <v>185</v>
      </c>
      <c r="X34" s="105">
        <v>0</v>
      </c>
      <c r="Y34" s="105">
        <v>0</v>
      </c>
      <c r="Z34" s="105">
        <v>0</v>
      </c>
      <c r="AA34" s="105" t="s">
        <v>177</v>
      </c>
      <c r="AB34" s="105" t="s">
        <v>104</v>
      </c>
      <c r="AC34" s="107"/>
      <c r="AD34" s="106"/>
    </row>
    <row r="35" spans="2:30" ht="57.6" x14ac:dyDescent="0.3">
      <c r="B35" s="267" t="s">
        <v>136</v>
      </c>
      <c r="C35" s="265" t="s">
        <v>154</v>
      </c>
      <c r="D35" s="263" t="s">
        <v>155</v>
      </c>
      <c r="F35" s="292" t="s">
        <v>553</v>
      </c>
      <c r="G35" s="291" t="s">
        <v>618</v>
      </c>
      <c r="I35" s="308" t="s">
        <v>637</v>
      </c>
      <c r="J35" s="309" t="s">
        <v>638</v>
      </c>
      <c r="K35" s="309" t="s">
        <v>650</v>
      </c>
      <c r="L35" s="310" t="s">
        <v>36</v>
      </c>
      <c r="M35" s="298" t="s">
        <v>635</v>
      </c>
      <c r="N35" s="299" t="s">
        <v>380</v>
      </c>
      <c r="O35" s="299">
        <v>1</v>
      </c>
      <c r="Q35" s="116" t="s">
        <v>183</v>
      </c>
      <c r="R35" s="104" t="s">
        <v>102</v>
      </c>
      <c r="S35" s="104" t="s">
        <v>102</v>
      </c>
      <c r="T35" s="105"/>
      <c r="U35" s="105" t="s">
        <v>110</v>
      </c>
      <c r="V35" s="105">
        <v>3</v>
      </c>
      <c r="W35" s="105" t="s">
        <v>111</v>
      </c>
      <c r="X35" s="105">
        <v>0</v>
      </c>
      <c r="Y35" s="105">
        <v>1</v>
      </c>
      <c r="Z35" s="105">
        <v>1</v>
      </c>
      <c r="AA35" s="105" t="s">
        <v>177</v>
      </c>
      <c r="AB35" s="105" t="s">
        <v>104</v>
      </c>
      <c r="AC35" s="107"/>
      <c r="AD35" s="106"/>
    </row>
    <row r="36" spans="2:30" ht="57.6" x14ac:dyDescent="0.3">
      <c r="B36" s="267" t="s">
        <v>136</v>
      </c>
      <c r="C36" s="265" t="s">
        <v>34</v>
      </c>
      <c r="D36" s="264" t="s">
        <v>156</v>
      </c>
      <c r="F36" s="292" t="s">
        <v>615</v>
      </c>
      <c r="G36" s="291" t="s">
        <v>618</v>
      </c>
      <c r="I36" s="308" t="s">
        <v>641</v>
      </c>
      <c r="J36" s="312" t="s">
        <v>642</v>
      </c>
      <c r="K36" s="312" t="s">
        <v>651</v>
      </c>
      <c r="L36" s="313" t="s">
        <v>36</v>
      </c>
      <c r="M36" s="314" t="s">
        <v>652</v>
      </c>
      <c r="N36" s="315" t="s">
        <v>380</v>
      </c>
      <c r="O36" s="315">
        <v>1</v>
      </c>
      <c r="Q36" s="116" t="s">
        <v>183</v>
      </c>
      <c r="R36" s="104" t="s">
        <v>269</v>
      </c>
      <c r="S36" s="104" t="s">
        <v>186</v>
      </c>
      <c r="T36" s="105"/>
      <c r="U36" s="105" t="s">
        <v>110</v>
      </c>
      <c r="V36" s="105">
        <v>4</v>
      </c>
      <c r="W36" s="105" t="s">
        <v>185</v>
      </c>
      <c r="X36" s="105">
        <v>0</v>
      </c>
      <c r="Y36" s="105">
        <v>0</v>
      </c>
      <c r="Z36" s="105">
        <v>0</v>
      </c>
      <c r="AA36" s="105" t="s">
        <v>112</v>
      </c>
      <c r="AB36" s="105" t="s">
        <v>186</v>
      </c>
      <c r="AC36" s="107"/>
      <c r="AD36" s="106" t="s">
        <v>187</v>
      </c>
    </row>
    <row r="37" spans="2:30" ht="28.8" x14ac:dyDescent="0.3">
      <c r="B37" s="267" t="s">
        <v>136</v>
      </c>
      <c r="C37" s="265" t="s">
        <v>119</v>
      </c>
      <c r="D37" s="264" t="s">
        <v>157</v>
      </c>
      <c r="F37" s="290" t="s">
        <v>572</v>
      </c>
      <c r="G37" s="291" t="s">
        <v>464</v>
      </c>
      <c r="I37" s="308" t="s">
        <v>666</v>
      </c>
      <c r="J37" s="309" t="s">
        <v>665</v>
      </c>
      <c r="K37" s="309" t="s">
        <v>664</v>
      </c>
      <c r="L37" s="313" t="s">
        <v>36</v>
      </c>
      <c r="M37" s="298" t="s">
        <v>667</v>
      </c>
      <c r="N37" s="299" t="s">
        <v>380</v>
      </c>
      <c r="O37" s="299">
        <v>1</v>
      </c>
      <c r="Q37" s="116" t="s">
        <v>183</v>
      </c>
      <c r="R37" s="104" t="s">
        <v>87</v>
      </c>
      <c r="S37" s="104" t="s">
        <v>188</v>
      </c>
      <c r="T37" s="105"/>
      <c r="U37" s="105" t="s">
        <v>110</v>
      </c>
      <c r="V37" s="105">
        <v>5</v>
      </c>
      <c r="W37" s="105" t="s">
        <v>185</v>
      </c>
      <c r="X37" s="105">
        <v>0</v>
      </c>
      <c r="Y37" s="105">
        <v>0</v>
      </c>
      <c r="Z37" s="105">
        <v>0</v>
      </c>
      <c r="AA37" s="105" t="s">
        <v>112</v>
      </c>
      <c r="AB37" s="105" t="s">
        <v>188</v>
      </c>
      <c r="AC37" s="107"/>
      <c r="AD37" s="106"/>
    </row>
    <row r="38" spans="2:30" ht="28.8" x14ac:dyDescent="0.3">
      <c r="B38" s="267" t="s">
        <v>136</v>
      </c>
      <c r="C38" s="265" t="s">
        <v>45</v>
      </c>
      <c r="D38" s="264" t="s">
        <v>158</v>
      </c>
      <c r="F38" s="290" t="s">
        <v>573</v>
      </c>
      <c r="G38" s="291" t="s">
        <v>465</v>
      </c>
      <c r="I38" s="70"/>
      <c r="Q38" s="113" t="s">
        <v>139</v>
      </c>
      <c r="R38" s="65" t="s">
        <v>34</v>
      </c>
      <c r="S38" s="65" t="s">
        <v>34</v>
      </c>
      <c r="T38" s="66"/>
      <c r="U38" s="66" t="s">
        <v>89</v>
      </c>
      <c r="V38" s="66">
        <v>1</v>
      </c>
      <c r="W38" s="66"/>
      <c r="X38" s="66"/>
      <c r="Y38" s="66"/>
      <c r="Z38" s="66"/>
      <c r="AA38" s="66"/>
      <c r="AB38" s="66"/>
      <c r="AC38" s="86"/>
      <c r="AD38" s="69"/>
    </row>
    <row r="39" spans="2:30" ht="28.8" x14ac:dyDescent="0.3">
      <c r="B39" s="267" t="s">
        <v>136</v>
      </c>
      <c r="C39" s="265" t="s">
        <v>35</v>
      </c>
      <c r="D39" s="264" t="s">
        <v>159</v>
      </c>
      <c r="F39" s="290" t="s">
        <v>574</v>
      </c>
      <c r="G39" s="291" t="s">
        <v>466</v>
      </c>
      <c r="I39" s="70"/>
      <c r="Q39" s="113" t="s">
        <v>139</v>
      </c>
      <c r="R39" s="67" t="s">
        <v>143</v>
      </c>
      <c r="S39" s="67" t="s">
        <v>126</v>
      </c>
      <c r="T39" s="68" t="s">
        <v>92</v>
      </c>
      <c r="U39" s="68" t="s">
        <v>93</v>
      </c>
      <c r="V39" s="68"/>
      <c r="W39" s="68"/>
      <c r="X39" s="68"/>
      <c r="Y39" s="68"/>
      <c r="Z39" s="68"/>
      <c r="AA39" s="68"/>
      <c r="AB39" s="68"/>
      <c r="AC39" s="71"/>
      <c r="AD39" s="69" t="s">
        <v>293</v>
      </c>
    </row>
    <row r="40" spans="2:30" ht="72" x14ac:dyDescent="0.3">
      <c r="B40" s="267" t="s">
        <v>136</v>
      </c>
      <c r="C40" s="265" t="s">
        <v>118</v>
      </c>
      <c r="D40" s="263" t="s">
        <v>160</v>
      </c>
      <c r="F40" s="290" t="s">
        <v>575</v>
      </c>
      <c r="G40" s="291" t="s">
        <v>577</v>
      </c>
      <c r="I40" s="70"/>
      <c r="Q40" s="113" t="s">
        <v>139</v>
      </c>
      <c r="R40" s="67" t="s">
        <v>145</v>
      </c>
      <c r="S40" s="67" t="s">
        <v>104</v>
      </c>
      <c r="T40" s="66" t="s">
        <v>92</v>
      </c>
      <c r="U40" s="66" t="s">
        <v>93</v>
      </c>
      <c r="V40" s="66"/>
      <c r="W40" s="66"/>
      <c r="X40" s="66"/>
      <c r="Y40" s="66"/>
      <c r="Z40" s="66"/>
      <c r="AA40" s="66"/>
      <c r="AB40" s="66"/>
      <c r="AC40" s="71" t="s">
        <v>135</v>
      </c>
      <c r="AD40" s="69" t="s">
        <v>294</v>
      </c>
    </row>
    <row r="41" spans="2:30" ht="28.8" x14ac:dyDescent="0.3">
      <c r="B41" s="261" t="s">
        <v>161</v>
      </c>
      <c r="C41" s="265" t="s">
        <v>34</v>
      </c>
      <c r="D41" s="264" t="s">
        <v>162</v>
      </c>
      <c r="F41" s="292" t="s">
        <v>616</v>
      </c>
      <c r="G41" s="291" t="s">
        <v>619</v>
      </c>
      <c r="I41" s="70"/>
      <c r="Q41" s="113" t="s">
        <v>139</v>
      </c>
      <c r="R41" s="67" t="s">
        <v>35</v>
      </c>
      <c r="S41" s="67" t="s">
        <v>35</v>
      </c>
      <c r="T41" s="68"/>
      <c r="U41" s="68" t="s">
        <v>130</v>
      </c>
      <c r="V41" s="68">
        <v>2</v>
      </c>
      <c r="W41" s="68" t="s">
        <v>111</v>
      </c>
      <c r="X41" s="68">
        <v>0</v>
      </c>
      <c r="Y41" s="68">
        <v>1</v>
      </c>
      <c r="Z41" s="68">
        <v>1</v>
      </c>
      <c r="AA41" s="68"/>
      <c r="AB41" s="68"/>
      <c r="AC41" s="71"/>
      <c r="AD41" s="69"/>
    </row>
    <row r="42" spans="2:30" ht="28.8" x14ac:dyDescent="0.3">
      <c r="B42" s="261" t="s">
        <v>161</v>
      </c>
      <c r="C42" s="265" t="s">
        <v>119</v>
      </c>
      <c r="D42" s="264" t="s">
        <v>163</v>
      </c>
      <c r="F42" s="292" t="s">
        <v>644</v>
      </c>
      <c r="G42" s="291" t="s">
        <v>650</v>
      </c>
      <c r="I42" s="70"/>
      <c r="Q42" s="113" t="s">
        <v>139</v>
      </c>
      <c r="R42" s="67" t="s">
        <v>118</v>
      </c>
      <c r="S42" s="67" t="s">
        <v>118</v>
      </c>
      <c r="T42" s="68"/>
      <c r="U42" s="68" t="s">
        <v>110</v>
      </c>
      <c r="V42" s="68">
        <v>1</v>
      </c>
      <c r="W42" s="68" t="s">
        <v>111</v>
      </c>
      <c r="X42" s="68">
        <v>0</v>
      </c>
      <c r="Y42" s="68">
        <v>1</v>
      </c>
      <c r="Z42" s="68">
        <v>1</v>
      </c>
      <c r="AA42" s="68" t="s">
        <v>112</v>
      </c>
      <c r="AB42" s="68" t="s">
        <v>118</v>
      </c>
      <c r="AC42" s="71"/>
      <c r="AD42" s="69"/>
    </row>
    <row r="43" spans="2:30" ht="28.8" x14ac:dyDescent="0.3">
      <c r="B43" s="261" t="s">
        <v>161</v>
      </c>
      <c r="C43" s="265" t="s">
        <v>45</v>
      </c>
      <c r="D43" s="264" t="s">
        <v>164</v>
      </c>
      <c r="F43" s="303" t="s">
        <v>645</v>
      </c>
      <c r="G43" s="304" t="s">
        <v>651</v>
      </c>
      <c r="Q43" s="113" t="s">
        <v>139</v>
      </c>
      <c r="R43" s="67" t="s">
        <v>7</v>
      </c>
      <c r="S43" s="67" t="s">
        <v>7</v>
      </c>
      <c r="T43" s="68"/>
      <c r="U43" s="68" t="s">
        <v>110</v>
      </c>
      <c r="V43" s="68">
        <v>2</v>
      </c>
      <c r="W43" s="68" t="s">
        <v>111</v>
      </c>
      <c r="X43" s="68">
        <v>0</v>
      </c>
      <c r="Y43" s="68">
        <v>1</v>
      </c>
      <c r="Z43" s="68">
        <v>1</v>
      </c>
      <c r="AA43" s="68" t="s">
        <v>177</v>
      </c>
      <c r="AB43" s="68" t="s">
        <v>104</v>
      </c>
      <c r="AC43" s="71"/>
      <c r="AD43" s="69"/>
    </row>
    <row r="44" spans="2:30" ht="28.8" x14ac:dyDescent="0.3">
      <c r="B44" s="261" t="s">
        <v>161</v>
      </c>
      <c r="C44" s="265" t="s">
        <v>35</v>
      </c>
      <c r="D44" s="264" t="s">
        <v>165</v>
      </c>
      <c r="F44" s="292" t="s">
        <v>657</v>
      </c>
      <c r="G44" s="291" t="s">
        <v>658</v>
      </c>
      <c r="Q44" s="113" t="s">
        <v>139</v>
      </c>
      <c r="R44" s="67" t="s">
        <v>141</v>
      </c>
      <c r="S44" s="67" t="s">
        <v>141</v>
      </c>
      <c r="T44" s="68"/>
      <c r="U44" s="68" t="s">
        <v>110</v>
      </c>
      <c r="V44" s="68">
        <v>3</v>
      </c>
      <c r="W44" s="68" t="s">
        <v>111</v>
      </c>
      <c r="X44" s="68">
        <v>0</v>
      </c>
      <c r="Y44" s="68">
        <v>1</v>
      </c>
      <c r="Z44" s="68">
        <v>1</v>
      </c>
      <c r="AA44" s="68" t="s">
        <v>177</v>
      </c>
      <c r="AB44" s="68" t="s">
        <v>104</v>
      </c>
      <c r="AC44" s="71"/>
      <c r="AD44" s="69"/>
    </row>
    <row r="45" spans="2:30" ht="28.8" x14ac:dyDescent="0.3">
      <c r="B45" s="261" t="s">
        <v>189</v>
      </c>
      <c r="C45" s="265" t="s">
        <v>34</v>
      </c>
      <c r="D45" s="264" t="s">
        <v>156</v>
      </c>
      <c r="F45" s="292" t="s">
        <v>663</v>
      </c>
      <c r="G45" s="291" t="s">
        <v>664</v>
      </c>
      <c r="Q45" s="114" t="s">
        <v>168</v>
      </c>
      <c r="R45" s="65" t="s">
        <v>34</v>
      </c>
      <c r="S45" s="65" t="s">
        <v>34</v>
      </c>
      <c r="T45" s="66"/>
      <c r="U45" s="66" t="s">
        <v>89</v>
      </c>
      <c r="V45" s="66">
        <v>1</v>
      </c>
      <c r="W45" s="66"/>
      <c r="X45" s="66"/>
      <c r="Y45" s="66"/>
      <c r="Z45" s="66"/>
      <c r="AA45" s="66"/>
      <c r="AB45" s="66"/>
      <c r="AC45" s="66"/>
      <c r="AD45" s="63"/>
    </row>
    <row r="46" spans="2:30" ht="28.8" x14ac:dyDescent="0.3">
      <c r="B46" s="261" t="s">
        <v>189</v>
      </c>
      <c r="C46" s="265" t="s">
        <v>119</v>
      </c>
      <c r="D46" s="264" t="s">
        <v>157</v>
      </c>
      <c r="F46"/>
      <c r="Q46" s="114" t="s">
        <v>168</v>
      </c>
      <c r="R46" s="65" t="s">
        <v>197</v>
      </c>
      <c r="S46" s="65" t="s">
        <v>133</v>
      </c>
      <c r="T46" s="66" t="s">
        <v>134</v>
      </c>
      <c r="U46" s="66" t="s">
        <v>93</v>
      </c>
      <c r="V46" s="66"/>
      <c r="W46" s="66"/>
      <c r="X46" s="66"/>
      <c r="Y46" s="66"/>
      <c r="Z46" s="66"/>
      <c r="AA46" s="66"/>
      <c r="AB46" s="66"/>
      <c r="AC46" s="66"/>
      <c r="AD46" s="63" t="s">
        <v>293</v>
      </c>
    </row>
    <row r="47" spans="2:30" ht="28.8" x14ac:dyDescent="0.3">
      <c r="B47" s="261" t="s">
        <v>189</v>
      </c>
      <c r="C47" s="265" t="s">
        <v>45</v>
      </c>
      <c r="D47" s="264" t="s">
        <v>158</v>
      </c>
      <c r="F47"/>
      <c r="Q47" s="114" t="s">
        <v>168</v>
      </c>
      <c r="R47" s="65" t="s">
        <v>171</v>
      </c>
      <c r="S47" s="65" t="s">
        <v>126</v>
      </c>
      <c r="T47" s="66" t="s">
        <v>92</v>
      </c>
      <c r="U47" s="66" t="s">
        <v>93</v>
      </c>
      <c r="V47" s="66"/>
      <c r="W47" s="66"/>
      <c r="X47" s="66"/>
      <c r="Y47" s="66"/>
      <c r="Z47" s="66"/>
      <c r="AA47" s="66"/>
      <c r="AB47" s="66"/>
      <c r="AC47" s="66"/>
      <c r="AD47" s="63" t="s">
        <v>293</v>
      </c>
    </row>
    <row r="48" spans="2:30" ht="28.8" x14ac:dyDescent="0.3">
      <c r="B48" s="261" t="s">
        <v>189</v>
      </c>
      <c r="C48" s="265" t="s">
        <v>35</v>
      </c>
      <c r="D48" s="264" t="s">
        <v>159</v>
      </c>
      <c r="F48"/>
      <c r="Q48" s="114" t="s">
        <v>168</v>
      </c>
      <c r="R48" s="65" t="s">
        <v>171</v>
      </c>
      <c r="S48" s="65" t="s">
        <v>104</v>
      </c>
      <c r="T48" s="66" t="s">
        <v>92</v>
      </c>
      <c r="U48" s="66" t="s">
        <v>93</v>
      </c>
      <c r="V48" s="66"/>
      <c r="W48" s="66"/>
      <c r="X48" s="66"/>
      <c r="Y48" s="66"/>
      <c r="Z48" s="66"/>
      <c r="AA48" s="66"/>
      <c r="AB48" s="66"/>
      <c r="AC48" s="66" t="s">
        <v>135</v>
      </c>
      <c r="AD48" s="63" t="s">
        <v>294</v>
      </c>
    </row>
    <row r="49" spans="2:30" ht="43.2" x14ac:dyDescent="0.3">
      <c r="B49" s="261" t="s">
        <v>189</v>
      </c>
      <c r="C49" s="265" t="s">
        <v>190</v>
      </c>
      <c r="D49" s="263" t="s">
        <v>191</v>
      </c>
      <c r="F49"/>
      <c r="Q49" s="114" t="s">
        <v>168</v>
      </c>
      <c r="R49" s="65" t="s">
        <v>172</v>
      </c>
      <c r="S49" s="65" t="s">
        <v>118</v>
      </c>
      <c r="T49" s="66"/>
      <c r="U49" s="66" t="s">
        <v>130</v>
      </c>
      <c r="V49" s="66">
        <v>2</v>
      </c>
      <c r="W49" s="66" t="s">
        <v>111</v>
      </c>
      <c r="X49" s="66">
        <v>0</v>
      </c>
      <c r="Y49" s="66">
        <v>1</v>
      </c>
      <c r="Z49" s="66">
        <v>1</v>
      </c>
      <c r="AA49" s="66"/>
      <c r="AB49" s="66"/>
      <c r="AC49" s="66"/>
      <c r="AD49" s="63"/>
    </row>
    <row r="50" spans="2:30" ht="28.8" x14ac:dyDescent="0.3">
      <c r="B50" s="261" t="s">
        <v>189</v>
      </c>
      <c r="C50" s="265" t="s">
        <v>118</v>
      </c>
      <c r="D50" s="263" t="s">
        <v>192</v>
      </c>
      <c r="F50"/>
      <c r="Q50" s="114" t="s">
        <v>168</v>
      </c>
      <c r="R50" s="65" t="s">
        <v>173</v>
      </c>
      <c r="S50" s="65" t="s">
        <v>174</v>
      </c>
      <c r="T50" s="66"/>
      <c r="U50" s="66" t="s">
        <v>110</v>
      </c>
      <c r="V50" s="66">
        <v>1</v>
      </c>
      <c r="W50" s="66" t="s">
        <v>111</v>
      </c>
      <c r="X50" s="66">
        <v>0</v>
      </c>
      <c r="Y50" s="66">
        <v>1</v>
      </c>
      <c r="Z50" s="66">
        <v>1</v>
      </c>
      <c r="AA50" s="66" t="s">
        <v>112</v>
      </c>
      <c r="AB50" s="66" t="s">
        <v>174</v>
      </c>
      <c r="AC50" s="66"/>
      <c r="AD50" s="63"/>
    </row>
    <row r="51" spans="2:30" ht="28.8" x14ac:dyDescent="0.3">
      <c r="B51" s="261" t="s">
        <v>259</v>
      </c>
      <c r="C51" s="265" t="s">
        <v>35</v>
      </c>
      <c r="D51" s="264" t="s">
        <v>159</v>
      </c>
      <c r="F51"/>
      <c r="Q51" s="114" t="s">
        <v>168</v>
      </c>
      <c r="R51" s="65" t="s">
        <v>175</v>
      </c>
      <c r="S51" s="65" t="s">
        <v>176</v>
      </c>
      <c r="T51" s="66"/>
      <c r="U51" s="66" t="s">
        <v>110</v>
      </c>
      <c r="V51" s="66">
        <v>2</v>
      </c>
      <c r="W51" s="66" t="s">
        <v>111</v>
      </c>
      <c r="X51" s="66">
        <v>0</v>
      </c>
      <c r="Y51" s="66">
        <v>1</v>
      </c>
      <c r="Z51" s="66">
        <v>1</v>
      </c>
      <c r="AA51" s="68" t="s">
        <v>177</v>
      </c>
      <c r="AB51" s="68" t="s">
        <v>104</v>
      </c>
      <c r="AC51" s="66"/>
      <c r="AD51" s="63"/>
    </row>
    <row r="52" spans="2:30" ht="28.8" x14ac:dyDescent="0.3">
      <c r="B52" s="261" t="s">
        <v>259</v>
      </c>
      <c r="C52" s="265" t="s">
        <v>34</v>
      </c>
      <c r="D52" s="264" t="s">
        <v>156</v>
      </c>
      <c r="Q52" s="114" t="s">
        <v>168</v>
      </c>
      <c r="R52" s="65" t="s">
        <v>35</v>
      </c>
      <c r="S52" s="65" t="s">
        <v>36</v>
      </c>
      <c r="T52" s="66"/>
      <c r="U52" s="66" t="s">
        <v>110</v>
      </c>
      <c r="V52" s="66">
        <v>3</v>
      </c>
      <c r="W52" s="66" t="s">
        <v>111</v>
      </c>
      <c r="X52" s="66">
        <v>0</v>
      </c>
      <c r="Y52" s="66">
        <v>1</v>
      </c>
      <c r="Z52" s="66">
        <v>1</v>
      </c>
      <c r="AA52" s="66" t="s">
        <v>112</v>
      </c>
      <c r="AB52" s="68" t="s">
        <v>36</v>
      </c>
      <c r="AC52" s="66"/>
      <c r="AD52" s="63"/>
    </row>
    <row r="53" spans="2:30" ht="28.8" x14ac:dyDescent="0.3">
      <c r="B53" s="261" t="s">
        <v>259</v>
      </c>
      <c r="C53" s="265" t="s">
        <v>119</v>
      </c>
      <c r="D53" s="264" t="s">
        <v>157</v>
      </c>
      <c r="Q53" s="117" t="s">
        <v>195</v>
      </c>
      <c r="R53" s="108" t="s">
        <v>34</v>
      </c>
      <c r="S53" s="108" t="s">
        <v>34</v>
      </c>
      <c r="T53" s="109"/>
      <c r="U53" s="109" t="s">
        <v>89</v>
      </c>
      <c r="V53" s="109">
        <v>1</v>
      </c>
      <c r="W53" s="109"/>
      <c r="X53" s="109"/>
      <c r="Y53" s="109"/>
      <c r="Z53" s="109"/>
      <c r="AA53" s="109"/>
      <c r="AB53" s="109"/>
      <c r="AC53" s="109"/>
      <c r="AD53" s="110"/>
    </row>
    <row r="54" spans="2:30" ht="28.8" x14ac:dyDescent="0.3">
      <c r="B54" s="261" t="s">
        <v>259</v>
      </c>
      <c r="C54" s="265" t="s">
        <v>45</v>
      </c>
      <c r="D54" s="264" t="s">
        <v>158</v>
      </c>
      <c r="Q54" s="117" t="s">
        <v>195</v>
      </c>
      <c r="R54" s="108" t="s">
        <v>198</v>
      </c>
      <c r="S54" s="108" t="s">
        <v>133</v>
      </c>
      <c r="T54" s="109" t="s">
        <v>134</v>
      </c>
      <c r="U54" s="109" t="s">
        <v>93</v>
      </c>
      <c r="V54" s="109"/>
      <c r="W54" s="109"/>
      <c r="X54" s="109"/>
      <c r="Y54" s="109"/>
      <c r="Z54" s="109"/>
      <c r="AA54" s="109"/>
      <c r="AB54" s="109"/>
      <c r="AC54" s="109"/>
      <c r="AD54" s="110" t="s">
        <v>293</v>
      </c>
    </row>
    <row r="55" spans="2:30" ht="43.2" x14ac:dyDescent="0.3">
      <c r="B55" s="261" t="s">
        <v>259</v>
      </c>
      <c r="C55" s="265" t="s">
        <v>264</v>
      </c>
      <c r="D55" s="264" t="s">
        <v>266</v>
      </c>
      <c r="Q55" s="117" t="s">
        <v>195</v>
      </c>
      <c r="R55" s="108" t="s">
        <v>190</v>
      </c>
      <c r="S55" s="108" t="s">
        <v>126</v>
      </c>
      <c r="T55" s="109" t="s">
        <v>92</v>
      </c>
      <c r="U55" s="109" t="s">
        <v>93</v>
      </c>
      <c r="V55" s="109"/>
      <c r="W55" s="109"/>
      <c r="X55" s="109"/>
      <c r="Y55" s="109"/>
      <c r="Z55" s="109"/>
      <c r="AA55" s="109"/>
      <c r="AB55" s="109"/>
      <c r="AC55" s="109"/>
      <c r="AD55" s="110" t="s">
        <v>293</v>
      </c>
    </row>
    <row r="56" spans="2:30" ht="28.8" x14ac:dyDescent="0.3">
      <c r="B56" s="261" t="s">
        <v>259</v>
      </c>
      <c r="C56" s="265" t="s">
        <v>265</v>
      </c>
      <c r="D56" s="264" t="s">
        <v>267</v>
      </c>
      <c r="Q56" s="117" t="s">
        <v>195</v>
      </c>
      <c r="R56" s="108" t="s">
        <v>190</v>
      </c>
      <c r="S56" s="108" t="s">
        <v>104</v>
      </c>
      <c r="T56" s="109" t="s">
        <v>92</v>
      </c>
      <c r="U56" s="109" t="s">
        <v>93</v>
      </c>
      <c r="V56" s="109"/>
      <c r="W56" s="109"/>
      <c r="X56" s="109"/>
      <c r="Y56" s="109"/>
      <c r="Z56" s="109"/>
      <c r="AA56" s="109"/>
      <c r="AB56" s="109"/>
      <c r="AC56" s="109" t="s">
        <v>135</v>
      </c>
      <c r="AD56" s="110" t="s">
        <v>294</v>
      </c>
    </row>
    <row r="57" spans="2:30" ht="57.6" x14ac:dyDescent="0.3">
      <c r="B57" s="268" t="s">
        <v>259</v>
      </c>
      <c r="C57" s="265" t="s">
        <v>204</v>
      </c>
      <c r="D57" s="269" t="s">
        <v>261</v>
      </c>
      <c r="Q57" s="117" t="s">
        <v>195</v>
      </c>
      <c r="R57" s="108" t="s">
        <v>118</v>
      </c>
      <c r="S57" s="108" t="s">
        <v>118</v>
      </c>
      <c r="T57" s="109"/>
      <c r="U57" s="109" t="s">
        <v>130</v>
      </c>
      <c r="V57" s="109">
        <v>2</v>
      </c>
      <c r="W57" s="109" t="s">
        <v>111</v>
      </c>
      <c r="X57" s="109">
        <v>0</v>
      </c>
      <c r="Y57" s="109">
        <v>1</v>
      </c>
      <c r="Z57" s="109">
        <v>1</v>
      </c>
      <c r="AA57" s="109"/>
      <c r="AB57" s="109"/>
      <c r="AC57" s="109"/>
      <c r="AD57" s="110"/>
    </row>
    <row r="58" spans="2:30" ht="43.2" x14ac:dyDescent="0.3">
      <c r="B58" s="268" t="s">
        <v>259</v>
      </c>
      <c r="C58" s="270" t="s">
        <v>216</v>
      </c>
      <c r="D58" s="271" t="s">
        <v>217</v>
      </c>
      <c r="Q58" s="117" t="s">
        <v>195</v>
      </c>
      <c r="R58" s="108" t="s">
        <v>169</v>
      </c>
      <c r="S58" s="108" t="s">
        <v>174</v>
      </c>
      <c r="T58" s="109"/>
      <c r="U58" s="109" t="s">
        <v>110</v>
      </c>
      <c r="V58" s="109">
        <v>1</v>
      </c>
      <c r="W58" s="109" t="s">
        <v>111</v>
      </c>
      <c r="X58" s="109">
        <v>0</v>
      </c>
      <c r="Y58" s="109">
        <v>1</v>
      </c>
      <c r="Z58" s="109">
        <v>1</v>
      </c>
      <c r="AA58" s="109" t="s">
        <v>112</v>
      </c>
      <c r="AB58" s="109" t="s">
        <v>174</v>
      </c>
      <c r="AC58" s="109"/>
      <c r="AD58" s="110"/>
    </row>
    <row r="59" spans="2:30" ht="72" x14ac:dyDescent="0.3">
      <c r="B59" s="268" t="s">
        <v>259</v>
      </c>
      <c r="C59" s="270" t="s">
        <v>290</v>
      </c>
      <c r="D59" s="271" t="s">
        <v>291</v>
      </c>
      <c r="Q59" s="117" t="s">
        <v>195</v>
      </c>
      <c r="R59" s="108" t="s">
        <v>142</v>
      </c>
      <c r="S59" s="108" t="s">
        <v>176</v>
      </c>
      <c r="T59" s="109"/>
      <c r="U59" s="109" t="s">
        <v>110</v>
      </c>
      <c r="V59" s="109">
        <v>2</v>
      </c>
      <c r="W59" s="109" t="s">
        <v>111</v>
      </c>
      <c r="X59" s="109">
        <v>0</v>
      </c>
      <c r="Y59" s="109">
        <v>1</v>
      </c>
      <c r="Z59" s="109">
        <v>1</v>
      </c>
      <c r="AA59" s="111" t="s">
        <v>177</v>
      </c>
      <c r="AB59" s="111" t="s">
        <v>104</v>
      </c>
      <c r="AC59" s="109"/>
      <c r="AD59" s="110"/>
    </row>
    <row r="60" spans="2:30" ht="43.2" x14ac:dyDescent="0.3">
      <c r="B60" s="268" t="s">
        <v>259</v>
      </c>
      <c r="C60" s="270" t="s">
        <v>441</v>
      </c>
      <c r="D60" s="271" t="s">
        <v>442</v>
      </c>
      <c r="Q60" s="117" t="s">
        <v>195</v>
      </c>
      <c r="R60" s="108" t="s">
        <v>35</v>
      </c>
      <c r="S60" s="108" t="s">
        <v>36</v>
      </c>
      <c r="T60" s="109"/>
      <c r="U60" s="109" t="s">
        <v>110</v>
      </c>
      <c r="V60" s="109">
        <v>3</v>
      </c>
      <c r="W60" s="109" t="s">
        <v>111</v>
      </c>
      <c r="X60" s="109">
        <v>0</v>
      </c>
      <c r="Y60" s="109">
        <v>1</v>
      </c>
      <c r="Z60" s="109">
        <v>1</v>
      </c>
      <c r="AA60" s="109" t="s">
        <v>112</v>
      </c>
      <c r="AB60" s="111" t="s">
        <v>36</v>
      </c>
      <c r="AC60" s="109"/>
      <c r="AD60" s="110"/>
    </row>
    <row r="61" spans="2:30" ht="43.2" x14ac:dyDescent="0.3">
      <c r="B61" s="268" t="s">
        <v>259</v>
      </c>
      <c r="C61" s="270" t="s">
        <v>443</v>
      </c>
      <c r="D61" s="271" t="s">
        <v>444</v>
      </c>
      <c r="Q61" s="147" t="s">
        <v>309</v>
      </c>
      <c r="R61" s="148" t="s">
        <v>34</v>
      </c>
      <c r="S61" s="148" t="s">
        <v>34</v>
      </c>
      <c r="T61" s="149"/>
      <c r="U61" s="149" t="s">
        <v>89</v>
      </c>
      <c r="V61" s="149">
        <v>1</v>
      </c>
      <c r="W61" s="149"/>
      <c r="X61" s="149"/>
      <c r="Y61" s="149"/>
      <c r="Z61" s="149"/>
      <c r="AA61" s="149"/>
      <c r="AB61" s="149"/>
      <c r="AC61" s="150"/>
      <c r="AD61" s="151"/>
    </row>
    <row r="62" spans="2:30" ht="28.8" x14ac:dyDescent="0.3">
      <c r="B62" s="261" t="s">
        <v>260</v>
      </c>
      <c r="C62" s="265" t="s">
        <v>35</v>
      </c>
      <c r="D62" s="264" t="s">
        <v>159</v>
      </c>
      <c r="Q62" s="147" t="s">
        <v>309</v>
      </c>
      <c r="R62" s="148" t="s">
        <v>238</v>
      </c>
      <c r="S62" s="148" t="s">
        <v>292</v>
      </c>
      <c r="T62" s="149" t="s">
        <v>134</v>
      </c>
      <c r="U62" s="149" t="s">
        <v>93</v>
      </c>
      <c r="V62" s="149"/>
      <c r="W62" s="149"/>
      <c r="X62" s="149"/>
      <c r="Y62" s="149"/>
      <c r="Z62" s="149"/>
      <c r="AA62" s="149"/>
      <c r="AB62" s="149"/>
      <c r="AC62" s="150"/>
      <c r="AD62" s="151" t="s">
        <v>293</v>
      </c>
    </row>
    <row r="63" spans="2:30" ht="28.8" x14ac:dyDescent="0.3">
      <c r="B63" s="261" t="s">
        <v>260</v>
      </c>
      <c r="C63" s="265" t="s">
        <v>34</v>
      </c>
      <c r="D63" s="264" t="s">
        <v>156</v>
      </c>
      <c r="Q63" s="147" t="s">
        <v>309</v>
      </c>
      <c r="R63" s="148" t="s">
        <v>310</v>
      </c>
      <c r="S63" s="148" t="s">
        <v>305</v>
      </c>
      <c r="T63" s="149" t="s">
        <v>92</v>
      </c>
      <c r="U63" s="149" t="s">
        <v>93</v>
      </c>
      <c r="V63" s="149"/>
      <c r="W63" s="149"/>
      <c r="X63" s="149"/>
      <c r="Y63" s="149"/>
      <c r="Z63" s="149"/>
      <c r="AA63" s="149"/>
      <c r="AB63" s="149"/>
      <c r="AC63" s="150"/>
      <c r="AD63" s="151" t="s">
        <v>293</v>
      </c>
    </row>
    <row r="64" spans="2:30" ht="28.8" x14ac:dyDescent="0.3">
      <c r="B64" s="261" t="s">
        <v>260</v>
      </c>
      <c r="C64" s="265" t="s">
        <v>119</v>
      </c>
      <c r="D64" s="264" t="s">
        <v>157</v>
      </c>
      <c r="Q64" s="147" t="s">
        <v>309</v>
      </c>
      <c r="R64" s="148" t="s">
        <v>317</v>
      </c>
      <c r="S64" s="148" t="s">
        <v>311</v>
      </c>
      <c r="T64" s="149" t="s">
        <v>92</v>
      </c>
      <c r="U64" s="149" t="s">
        <v>93</v>
      </c>
      <c r="V64" s="149"/>
      <c r="W64" s="149"/>
      <c r="X64" s="149"/>
      <c r="Y64" s="149"/>
      <c r="Z64" s="149"/>
      <c r="AA64" s="149"/>
      <c r="AB64" s="149"/>
      <c r="AC64" s="150"/>
      <c r="AD64" s="151" t="s">
        <v>293</v>
      </c>
    </row>
    <row r="65" spans="2:30" ht="28.8" x14ac:dyDescent="0.3">
      <c r="B65" s="261" t="s">
        <v>260</v>
      </c>
      <c r="C65" s="265" t="s">
        <v>45</v>
      </c>
      <c r="D65" s="264" t="s">
        <v>158</v>
      </c>
      <c r="Q65" s="147" t="s">
        <v>309</v>
      </c>
      <c r="R65" s="148" t="s">
        <v>318</v>
      </c>
      <c r="S65" s="148" t="s">
        <v>97</v>
      </c>
      <c r="T65" s="149" t="s">
        <v>92</v>
      </c>
      <c r="U65" s="149" t="s">
        <v>93</v>
      </c>
      <c r="V65" s="149"/>
      <c r="W65" s="149"/>
      <c r="X65" s="149"/>
      <c r="Y65" s="149"/>
      <c r="Z65" s="149"/>
      <c r="AA65" s="149"/>
      <c r="AB65" s="149"/>
      <c r="AC65" s="150"/>
      <c r="AD65" s="151" t="s">
        <v>293</v>
      </c>
    </row>
    <row r="66" spans="2:30" ht="57.6" x14ac:dyDescent="0.3">
      <c r="B66" s="261" t="s">
        <v>260</v>
      </c>
      <c r="C66" s="265" t="s">
        <v>204</v>
      </c>
      <c r="D66" s="264" t="s">
        <v>261</v>
      </c>
      <c r="Q66" s="147" t="s">
        <v>309</v>
      </c>
      <c r="R66" s="148" t="s">
        <v>319</v>
      </c>
      <c r="S66" s="148" t="s">
        <v>312</v>
      </c>
      <c r="T66" s="149" t="s">
        <v>92</v>
      </c>
      <c r="U66" s="149" t="s">
        <v>93</v>
      </c>
      <c r="V66" s="149"/>
      <c r="W66" s="149"/>
      <c r="X66" s="149"/>
      <c r="Y66" s="149"/>
      <c r="Z66" s="149"/>
      <c r="AA66" s="149"/>
      <c r="AB66" s="149"/>
      <c r="AC66" s="150"/>
      <c r="AD66" s="151" t="s">
        <v>293</v>
      </c>
    </row>
    <row r="67" spans="2:30" ht="43.2" x14ac:dyDescent="0.3">
      <c r="B67" s="268" t="s">
        <v>260</v>
      </c>
      <c r="C67" s="270" t="s">
        <v>216</v>
      </c>
      <c r="D67" s="271" t="s">
        <v>217</v>
      </c>
      <c r="Q67" s="147" t="s">
        <v>309</v>
      </c>
      <c r="R67" s="148" t="s">
        <v>319</v>
      </c>
      <c r="S67" s="148" t="s">
        <v>104</v>
      </c>
      <c r="T67" s="149" t="s">
        <v>92</v>
      </c>
      <c r="U67" s="149" t="s">
        <v>93</v>
      </c>
      <c r="V67" s="149"/>
      <c r="W67" s="149"/>
      <c r="X67" s="149"/>
      <c r="Y67" s="149"/>
      <c r="Z67" s="149"/>
      <c r="AA67" s="149"/>
      <c r="AB67" s="149"/>
      <c r="AC67" s="150" t="s">
        <v>135</v>
      </c>
      <c r="AD67" s="151" t="s">
        <v>294</v>
      </c>
    </row>
    <row r="68" spans="2:30" ht="72" x14ac:dyDescent="0.3">
      <c r="B68" s="268" t="s">
        <v>260</v>
      </c>
      <c r="C68" s="270" t="s">
        <v>290</v>
      </c>
      <c r="D68" s="271" t="s">
        <v>291</v>
      </c>
      <c r="Q68" s="147" t="s">
        <v>309</v>
      </c>
      <c r="R68" s="148" t="s">
        <v>208</v>
      </c>
      <c r="S68" s="148" t="s">
        <v>208</v>
      </c>
      <c r="T68" s="149"/>
      <c r="U68" s="149" t="s">
        <v>130</v>
      </c>
      <c r="V68" s="149">
        <v>1</v>
      </c>
      <c r="W68" s="149" t="s">
        <v>111</v>
      </c>
      <c r="X68" s="149">
        <v>0</v>
      </c>
      <c r="Y68" s="149">
        <v>1</v>
      </c>
      <c r="Z68" s="149">
        <v>1</v>
      </c>
      <c r="AA68" s="149"/>
      <c r="AB68" s="149"/>
      <c r="AC68" s="150"/>
      <c r="AD68" s="151"/>
    </row>
    <row r="69" spans="2:30" ht="28.8" x14ac:dyDescent="0.3">
      <c r="B69" s="268" t="s">
        <v>258</v>
      </c>
      <c r="C69" s="265" t="s">
        <v>34</v>
      </c>
      <c r="D69" s="264" t="s">
        <v>156</v>
      </c>
      <c r="Q69" s="147" t="s">
        <v>309</v>
      </c>
      <c r="R69" s="148" t="s">
        <v>238</v>
      </c>
      <c r="S69" s="148" t="s">
        <v>307</v>
      </c>
      <c r="T69" s="149"/>
      <c r="U69" s="149" t="s">
        <v>110</v>
      </c>
      <c r="V69" s="149">
        <v>1</v>
      </c>
      <c r="W69" s="149" t="s">
        <v>111</v>
      </c>
      <c r="X69" s="149">
        <v>0</v>
      </c>
      <c r="Y69" s="149">
        <v>0</v>
      </c>
      <c r="Z69" s="149">
        <v>1</v>
      </c>
      <c r="AA69" s="149" t="s">
        <v>177</v>
      </c>
      <c r="AB69" s="149" t="s">
        <v>104</v>
      </c>
      <c r="AC69" s="150"/>
      <c r="AD69" s="151"/>
    </row>
    <row r="70" spans="2:30" ht="28.8" x14ac:dyDescent="0.3">
      <c r="B70" s="268" t="s">
        <v>258</v>
      </c>
      <c r="C70" s="265" t="s">
        <v>119</v>
      </c>
      <c r="D70" s="264" t="s">
        <v>157</v>
      </c>
      <c r="Q70" s="147" t="s">
        <v>309</v>
      </c>
      <c r="R70" s="148" t="s">
        <v>315</v>
      </c>
      <c r="S70" s="148" t="s">
        <v>308</v>
      </c>
      <c r="T70" s="149"/>
      <c r="U70" s="149" t="s">
        <v>110</v>
      </c>
      <c r="V70" s="149">
        <v>2</v>
      </c>
      <c r="W70" s="149" t="s">
        <v>111</v>
      </c>
      <c r="X70" s="149">
        <v>0</v>
      </c>
      <c r="Y70" s="149">
        <v>1</v>
      </c>
      <c r="Z70" s="149">
        <v>1</v>
      </c>
      <c r="AA70" s="149" t="s">
        <v>177</v>
      </c>
      <c r="AB70" s="149" t="s">
        <v>104</v>
      </c>
      <c r="AC70" s="150"/>
      <c r="AD70" s="151" t="s">
        <v>293</v>
      </c>
    </row>
    <row r="71" spans="2:30" ht="28.8" x14ac:dyDescent="0.3">
      <c r="B71" s="268" t="s">
        <v>258</v>
      </c>
      <c r="C71" s="265" t="s">
        <v>35</v>
      </c>
      <c r="D71" s="264" t="s">
        <v>159</v>
      </c>
      <c r="Q71" s="117" t="s">
        <v>212</v>
      </c>
      <c r="R71" s="108" t="s">
        <v>34</v>
      </c>
      <c r="S71" s="108" t="s">
        <v>34</v>
      </c>
      <c r="T71" s="109"/>
      <c r="U71" s="109" t="s">
        <v>89</v>
      </c>
      <c r="V71" s="109">
        <v>1</v>
      </c>
      <c r="W71" s="109"/>
      <c r="X71" s="109"/>
      <c r="Y71" s="109"/>
      <c r="Z71" s="109"/>
      <c r="AA71" s="109"/>
      <c r="AB71" s="109"/>
      <c r="AC71" s="123"/>
      <c r="AD71" s="110"/>
    </row>
    <row r="72" spans="2:30" ht="28.8" x14ac:dyDescent="0.3">
      <c r="B72" s="268" t="s">
        <v>258</v>
      </c>
      <c r="C72" s="270" t="s">
        <v>45</v>
      </c>
      <c r="D72" s="264" t="s">
        <v>158</v>
      </c>
      <c r="Q72" s="117" t="s">
        <v>212</v>
      </c>
      <c r="R72" s="108" t="s">
        <v>290</v>
      </c>
      <c r="S72" s="108" t="s">
        <v>292</v>
      </c>
      <c r="T72" s="109" t="s">
        <v>92</v>
      </c>
      <c r="U72" s="109" t="s">
        <v>93</v>
      </c>
      <c r="V72" s="109"/>
      <c r="W72" s="109"/>
      <c r="X72" s="109"/>
      <c r="Y72" s="109"/>
      <c r="Z72" s="109"/>
      <c r="AA72" s="109"/>
      <c r="AB72" s="109"/>
      <c r="AC72" s="123"/>
      <c r="AD72" s="110" t="s">
        <v>293</v>
      </c>
    </row>
    <row r="73" spans="2:30" ht="28.8" x14ac:dyDescent="0.3">
      <c r="B73" s="268" t="s">
        <v>258</v>
      </c>
      <c r="C73" s="270" t="s">
        <v>241</v>
      </c>
      <c r="D73" s="269" t="s">
        <v>242</v>
      </c>
      <c r="Q73" s="117" t="s">
        <v>212</v>
      </c>
      <c r="R73" s="108" t="s">
        <v>238</v>
      </c>
      <c r="S73" s="108" t="s">
        <v>237</v>
      </c>
      <c r="T73" s="109" t="s">
        <v>134</v>
      </c>
      <c r="U73" s="109" t="s">
        <v>93</v>
      </c>
      <c r="V73" s="109"/>
      <c r="W73" s="109"/>
      <c r="X73" s="109"/>
      <c r="Y73" s="109"/>
      <c r="Z73" s="109"/>
      <c r="AA73" s="109"/>
      <c r="AB73" s="109"/>
      <c r="AC73" s="123"/>
      <c r="AD73" s="110" t="s">
        <v>293</v>
      </c>
    </row>
    <row r="74" spans="2:30" ht="216" x14ac:dyDescent="0.3">
      <c r="B74" s="268" t="s">
        <v>258</v>
      </c>
      <c r="C74" s="270" t="s">
        <v>243</v>
      </c>
      <c r="D74" s="269" t="s">
        <v>244</v>
      </c>
      <c r="Q74" s="117" t="s">
        <v>212</v>
      </c>
      <c r="R74" s="108" t="s">
        <v>205</v>
      </c>
      <c r="S74" s="108" t="s">
        <v>91</v>
      </c>
      <c r="T74" s="109" t="s">
        <v>92</v>
      </c>
      <c r="U74" s="109" t="s">
        <v>93</v>
      </c>
      <c r="V74" s="109"/>
      <c r="W74" s="109"/>
      <c r="X74" s="109"/>
      <c r="Y74" s="109"/>
      <c r="Z74" s="109"/>
      <c r="AA74" s="109"/>
      <c r="AB74" s="109"/>
      <c r="AC74" s="123"/>
      <c r="AD74" s="110" t="s">
        <v>293</v>
      </c>
    </row>
    <row r="75" spans="2:30" ht="100.8" x14ac:dyDescent="0.3">
      <c r="B75" s="268" t="s">
        <v>258</v>
      </c>
      <c r="C75" s="270" t="s">
        <v>245</v>
      </c>
      <c r="D75" s="269" t="s">
        <v>246</v>
      </c>
      <c r="Q75" s="117" t="s">
        <v>212</v>
      </c>
      <c r="R75" s="108" t="s">
        <v>206</v>
      </c>
      <c r="S75" s="108" t="s">
        <v>97</v>
      </c>
      <c r="T75" s="109" t="s">
        <v>92</v>
      </c>
      <c r="U75" s="109" t="s">
        <v>93</v>
      </c>
      <c r="V75" s="109"/>
      <c r="W75" s="109"/>
      <c r="X75" s="109"/>
      <c r="Y75" s="109"/>
      <c r="Z75" s="109"/>
      <c r="AA75" s="109"/>
      <c r="AB75" s="109"/>
      <c r="AC75" s="123"/>
      <c r="AD75" s="110" t="s">
        <v>293</v>
      </c>
    </row>
    <row r="76" spans="2:30" ht="259.2" x14ac:dyDescent="0.3">
      <c r="B76" s="268" t="s">
        <v>258</v>
      </c>
      <c r="C76" s="270" t="s">
        <v>247</v>
      </c>
      <c r="D76" s="269" t="s">
        <v>248</v>
      </c>
      <c r="Q76" s="117" t="s">
        <v>212</v>
      </c>
      <c r="R76" s="108" t="s">
        <v>207</v>
      </c>
      <c r="S76" s="108" t="s">
        <v>101</v>
      </c>
      <c r="T76" s="109" t="s">
        <v>92</v>
      </c>
      <c r="U76" s="109" t="s">
        <v>93</v>
      </c>
      <c r="V76" s="109"/>
      <c r="W76" s="109"/>
      <c r="X76" s="109"/>
      <c r="Y76" s="109"/>
      <c r="Z76" s="109"/>
      <c r="AA76" s="109"/>
      <c r="AB76" s="109"/>
      <c r="AC76" s="123"/>
      <c r="AD76" s="110" t="s">
        <v>293</v>
      </c>
    </row>
    <row r="77" spans="2:30" ht="57.6" x14ac:dyDescent="0.3">
      <c r="B77" s="268" t="s">
        <v>258</v>
      </c>
      <c r="C77" s="270" t="s">
        <v>249</v>
      </c>
      <c r="D77" s="269" t="s">
        <v>250</v>
      </c>
      <c r="Q77" s="117" t="s">
        <v>212</v>
      </c>
      <c r="R77" s="108" t="s">
        <v>207</v>
      </c>
      <c r="S77" s="108" t="s">
        <v>104</v>
      </c>
      <c r="T77" s="109" t="s">
        <v>92</v>
      </c>
      <c r="U77" s="109" t="s">
        <v>93</v>
      </c>
      <c r="V77" s="109"/>
      <c r="W77" s="109"/>
      <c r="X77" s="109"/>
      <c r="Y77" s="109"/>
      <c r="Z77" s="109"/>
      <c r="AA77" s="109"/>
      <c r="AB77" s="109"/>
      <c r="AC77" s="123" t="s">
        <v>135</v>
      </c>
      <c r="AD77" s="110" t="s">
        <v>294</v>
      </c>
    </row>
    <row r="78" spans="2:30" ht="43.2" x14ac:dyDescent="0.3">
      <c r="B78" s="268" t="s">
        <v>258</v>
      </c>
      <c r="C78" s="270" t="s">
        <v>251</v>
      </c>
      <c r="D78" s="269" t="s">
        <v>252</v>
      </c>
      <c r="Q78" s="117" t="s">
        <v>212</v>
      </c>
      <c r="R78" s="108" t="s">
        <v>216</v>
      </c>
      <c r="S78" s="108" t="s">
        <v>220</v>
      </c>
      <c r="T78" s="109" t="s">
        <v>92</v>
      </c>
      <c r="U78" s="109" t="s">
        <v>93</v>
      </c>
      <c r="V78" s="109"/>
      <c r="W78" s="109"/>
      <c r="X78" s="109"/>
      <c r="Y78" s="109"/>
      <c r="Z78" s="109"/>
      <c r="AA78" s="109"/>
      <c r="AB78" s="109"/>
      <c r="AC78" s="123"/>
      <c r="AD78" s="110" t="s">
        <v>293</v>
      </c>
    </row>
    <row r="79" spans="2:30" ht="244.8" x14ac:dyDescent="0.3">
      <c r="B79" s="268" t="s">
        <v>258</v>
      </c>
      <c r="C79" s="270" t="s">
        <v>279</v>
      </c>
      <c r="D79" s="269" t="s">
        <v>289</v>
      </c>
      <c r="Q79" s="117" t="s">
        <v>212</v>
      </c>
      <c r="R79" s="108" t="s">
        <v>216</v>
      </c>
      <c r="S79" s="108" t="s">
        <v>221</v>
      </c>
      <c r="T79" s="109" t="s">
        <v>92</v>
      </c>
      <c r="U79" s="109" t="s">
        <v>93</v>
      </c>
      <c r="V79" s="109"/>
      <c r="W79" s="109"/>
      <c r="X79" s="109"/>
      <c r="Y79" s="109"/>
      <c r="Z79" s="109"/>
      <c r="AA79" s="109"/>
      <c r="AB79" s="109"/>
      <c r="AC79" s="123" t="s">
        <v>135</v>
      </c>
      <c r="AD79" s="110" t="s">
        <v>294</v>
      </c>
    </row>
    <row r="80" spans="2:30" ht="28.8" x14ac:dyDescent="0.3">
      <c r="B80" s="268" t="s">
        <v>276</v>
      </c>
      <c r="C80" s="265" t="s">
        <v>34</v>
      </c>
      <c r="D80" s="263" t="s">
        <v>156</v>
      </c>
      <c r="Q80" s="117" t="s">
        <v>212</v>
      </c>
      <c r="R80" s="108" t="s">
        <v>208</v>
      </c>
      <c r="S80" s="108" t="s">
        <v>208</v>
      </c>
      <c r="T80" s="109"/>
      <c r="U80" s="109" t="s">
        <v>130</v>
      </c>
      <c r="V80" s="109">
        <v>1</v>
      </c>
      <c r="W80" s="109" t="s">
        <v>111</v>
      </c>
      <c r="X80" s="109">
        <v>0</v>
      </c>
      <c r="Y80" s="109">
        <v>1</v>
      </c>
      <c r="Z80" s="109">
        <v>1</v>
      </c>
      <c r="AA80" s="109"/>
      <c r="AB80" s="109"/>
      <c r="AC80" s="123"/>
      <c r="AD80" s="110"/>
    </row>
    <row r="81" spans="2:30" ht="28.8" x14ac:dyDescent="0.3">
      <c r="B81" s="268" t="s">
        <v>276</v>
      </c>
      <c r="C81" s="265" t="s">
        <v>119</v>
      </c>
      <c r="D81" s="263" t="s">
        <v>157</v>
      </c>
      <c r="Q81" s="117" t="s">
        <v>212</v>
      </c>
      <c r="R81" s="108" t="s">
        <v>200</v>
      </c>
      <c r="S81" s="108" t="s">
        <v>200</v>
      </c>
      <c r="T81" s="109"/>
      <c r="U81" s="109" t="s">
        <v>110</v>
      </c>
      <c r="V81" s="109">
        <v>1</v>
      </c>
      <c r="W81" s="109" t="s">
        <v>111</v>
      </c>
      <c r="X81" s="109">
        <v>0</v>
      </c>
      <c r="Y81" s="109">
        <v>1</v>
      </c>
      <c r="Z81" s="109">
        <v>1</v>
      </c>
      <c r="AA81" s="109" t="s">
        <v>177</v>
      </c>
      <c r="AB81" s="109" t="s">
        <v>104</v>
      </c>
      <c r="AC81" s="123"/>
      <c r="AD81" s="110"/>
    </row>
    <row r="82" spans="2:30" ht="28.8" x14ac:dyDescent="0.3">
      <c r="B82" s="268" t="s">
        <v>276</v>
      </c>
      <c r="C82" s="265" t="s">
        <v>35</v>
      </c>
      <c r="D82" s="263" t="s">
        <v>159</v>
      </c>
      <c r="Q82" s="116" t="s">
        <v>446</v>
      </c>
      <c r="R82" s="65" t="s">
        <v>34</v>
      </c>
      <c r="S82" s="65" t="s">
        <v>34</v>
      </c>
      <c r="T82" s="102"/>
      <c r="U82" s="102" t="s">
        <v>89</v>
      </c>
      <c r="V82" s="102">
        <v>1</v>
      </c>
      <c r="W82" s="102"/>
      <c r="X82" s="102"/>
      <c r="Y82" s="102"/>
      <c r="Z82" s="102"/>
      <c r="AA82" s="102"/>
      <c r="AB82" s="102"/>
      <c r="AC82" s="112"/>
      <c r="AD82" s="103"/>
    </row>
    <row r="83" spans="2:30" ht="28.8" x14ac:dyDescent="0.3">
      <c r="B83" s="268" t="s">
        <v>276</v>
      </c>
      <c r="C83" s="270" t="s">
        <v>45</v>
      </c>
      <c r="D83" s="263" t="s">
        <v>158</v>
      </c>
      <c r="Q83" s="116" t="s">
        <v>446</v>
      </c>
      <c r="R83" s="65" t="s">
        <v>290</v>
      </c>
      <c r="S83" s="65" t="s">
        <v>292</v>
      </c>
      <c r="T83" s="102" t="s">
        <v>92</v>
      </c>
      <c r="U83" s="102" t="s">
        <v>93</v>
      </c>
      <c r="V83" s="102"/>
      <c r="W83" s="102"/>
      <c r="X83" s="102"/>
      <c r="Y83" s="102"/>
      <c r="Z83" s="102"/>
      <c r="AA83" s="102"/>
      <c r="AB83" s="102"/>
      <c r="AC83" s="112"/>
      <c r="AD83" s="103" t="s">
        <v>293</v>
      </c>
    </row>
    <row r="84" spans="2:30" ht="28.8" x14ac:dyDescent="0.3">
      <c r="B84" s="268" t="s">
        <v>276</v>
      </c>
      <c r="C84" s="270" t="s">
        <v>241</v>
      </c>
      <c r="D84" s="269" t="s">
        <v>242</v>
      </c>
      <c r="Q84" s="116" t="s">
        <v>446</v>
      </c>
      <c r="R84" s="65" t="s">
        <v>238</v>
      </c>
      <c r="S84" s="65" t="s">
        <v>237</v>
      </c>
      <c r="T84" s="102" t="s">
        <v>134</v>
      </c>
      <c r="U84" s="102" t="s">
        <v>93</v>
      </c>
      <c r="V84" s="102"/>
      <c r="W84" s="102"/>
      <c r="X84" s="102"/>
      <c r="Y84" s="102"/>
      <c r="Z84" s="102"/>
      <c r="AA84" s="102"/>
      <c r="AB84" s="102"/>
      <c r="AC84" s="112"/>
      <c r="AD84" s="103" t="s">
        <v>293</v>
      </c>
    </row>
    <row r="85" spans="2:30" ht="273.60000000000002" x14ac:dyDescent="0.3">
      <c r="B85" s="268" t="s">
        <v>276</v>
      </c>
      <c r="C85" s="270" t="s">
        <v>243</v>
      </c>
      <c r="D85" s="269" t="s">
        <v>277</v>
      </c>
      <c r="Q85" s="116" t="s">
        <v>446</v>
      </c>
      <c r="R85" s="65" t="s">
        <v>205</v>
      </c>
      <c r="S85" s="65" t="s">
        <v>91</v>
      </c>
      <c r="T85" s="102" t="s">
        <v>92</v>
      </c>
      <c r="U85" s="102" t="s">
        <v>93</v>
      </c>
      <c r="V85" s="102"/>
      <c r="W85" s="102"/>
      <c r="X85" s="102"/>
      <c r="Y85" s="102"/>
      <c r="Z85" s="102"/>
      <c r="AA85" s="102"/>
      <c r="AB85" s="102"/>
      <c r="AC85" s="112"/>
      <c r="AD85" s="103" t="s">
        <v>293</v>
      </c>
    </row>
    <row r="86" spans="2:30" ht="100.8" x14ac:dyDescent="0.3">
      <c r="B86" s="268" t="s">
        <v>276</v>
      </c>
      <c r="C86" s="270" t="s">
        <v>245</v>
      </c>
      <c r="D86" s="269" t="s">
        <v>246</v>
      </c>
      <c r="Q86" s="116" t="s">
        <v>446</v>
      </c>
      <c r="R86" s="65" t="s">
        <v>206</v>
      </c>
      <c r="S86" s="65" t="s">
        <v>97</v>
      </c>
      <c r="T86" s="102" t="s">
        <v>92</v>
      </c>
      <c r="U86" s="102" t="s">
        <v>93</v>
      </c>
      <c r="V86" s="102"/>
      <c r="W86" s="102"/>
      <c r="X86" s="102"/>
      <c r="Y86" s="102"/>
      <c r="Z86" s="102"/>
      <c r="AA86" s="102"/>
      <c r="AB86" s="102"/>
      <c r="AC86" s="112"/>
      <c r="AD86" s="103" t="s">
        <v>293</v>
      </c>
    </row>
    <row r="87" spans="2:30" ht="72" x14ac:dyDescent="0.3">
      <c r="B87" s="268" t="s">
        <v>276</v>
      </c>
      <c r="C87" s="270" t="s">
        <v>624</v>
      </c>
      <c r="D87" s="269" t="s">
        <v>625</v>
      </c>
      <c r="Q87" s="116" t="s">
        <v>446</v>
      </c>
      <c r="R87" s="65" t="s">
        <v>207</v>
      </c>
      <c r="S87" s="65" t="s">
        <v>101</v>
      </c>
      <c r="T87" s="102" t="s">
        <v>92</v>
      </c>
      <c r="U87" s="102" t="s">
        <v>93</v>
      </c>
      <c r="V87" s="102"/>
      <c r="W87" s="102"/>
      <c r="X87" s="102"/>
      <c r="Y87" s="102"/>
      <c r="Z87" s="102"/>
      <c r="AA87" s="102"/>
      <c r="AB87" s="102"/>
      <c r="AC87" s="112"/>
      <c r="AD87" s="103" t="s">
        <v>293</v>
      </c>
    </row>
    <row r="88" spans="2:30" ht="259.2" x14ac:dyDescent="0.3">
      <c r="B88" s="268" t="s">
        <v>276</v>
      </c>
      <c r="C88" s="270" t="s">
        <v>247</v>
      </c>
      <c r="D88" s="269" t="s">
        <v>248</v>
      </c>
      <c r="Q88" s="116" t="s">
        <v>446</v>
      </c>
      <c r="R88" s="65" t="s">
        <v>207</v>
      </c>
      <c r="S88" s="65" t="s">
        <v>104</v>
      </c>
      <c r="T88" s="102" t="s">
        <v>92</v>
      </c>
      <c r="U88" s="102" t="s">
        <v>93</v>
      </c>
      <c r="V88" s="102"/>
      <c r="W88" s="102"/>
      <c r="X88" s="102"/>
      <c r="Y88" s="102"/>
      <c r="Z88" s="102"/>
      <c r="AA88" s="102"/>
      <c r="AB88" s="102"/>
      <c r="AC88" s="112" t="s">
        <v>105</v>
      </c>
      <c r="AD88" s="103" t="s">
        <v>294</v>
      </c>
    </row>
    <row r="89" spans="2:30" ht="57.6" x14ac:dyDescent="0.3">
      <c r="B89" s="268" t="s">
        <v>276</v>
      </c>
      <c r="C89" s="270" t="s">
        <v>249</v>
      </c>
      <c r="D89" s="269" t="s">
        <v>250</v>
      </c>
      <c r="Q89" s="116" t="s">
        <v>446</v>
      </c>
      <c r="R89" s="65" t="s">
        <v>216</v>
      </c>
      <c r="S89" s="65" t="s">
        <v>220</v>
      </c>
      <c r="T89" s="102" t="s">
        <v>92</v>
      </c>
      <c r="U89" s="102" t="s">
        <v>93</v>
      </c>
      <c r="V89" s="102"/>
      <c r="W89" s="102"/>
      <c r="X89" s="102"/>
      <c r="Y89" s="102"/>
      <c r="Z89" s="102"/>
      <c r="AA89" s="102"/>
      <c r="AB89" s="102"/>
      <c r="AC89" s="112"/>
      <c r="AD89" s="103" t="s">
        <v>293</v>
      </c>
    </row>
    <row r="90" spans="2:30" ht="43.2" x14ac:dyDescent="0.3">
      <c r="B90" s="268" t="s">
        <v>276</v>
      </c>
      <c r="C90" s="270" t="s">
        <v>251</v>
      </c>
      <c r="D90" s="269" t="s">
        <v>252</v>
      </c>
      <c r="Q90" s="116" t="s">
        <v>446</v>
      </c>
      <c r="R90" s="65" t="s">
        <v>216</v>
      </c>
      <c r="S90" s="65" t="s">
        <v>221</v>
      </c>
      <c r="T90" s="102" t="s">
        <v>92</v>
      </c>
      <c r="U90" s="102" t="s">
        <v>93</v>
      </c>
      <c r="V90" s="102"/>
      <c r="W90" s="102"/>
      <c r="X90" s="102"/>
      <c r="Y90" s="102"/>
      <c r="Z90" s="102"/>
      <c r="AA90" s="102"/>
      <c r="AB90" s="102"/>
      <c r="AC90" s="112" t="s">
        <v>105</v>
      </c>
      <c r="AD90" s="103" t="s">
        <v>294</v>
      </c>
    </row>
    <row r="91" spans="2:30" ht="244.8" x14ac:dyDescent="0.3">
      <c r="B91" s="268" t="s">
        <v>276</v>
      </c>
      <c r="C91" s="270" t="s">
        <v>279</v>
      </c>
      <c r="D91" s="269" t="s">
        <v>289</v>
      </c>
      <c r="Q91" s="116" t="s">
        <v>446</v>
      </c>
      <c r="R91" s="65" t="s">
        <v>208</v>
      </c>
      <c r="S91" s="65" t="s">
        <v>208</v>
      </c>
      <c r="T91" s="102"/>
      <c r="U91" s="102" t="s">
        <v>130</v>
      </c>
      <c r="V91" s="102">
        <v>1</v>
      </c>
      <c r="W91" s="102" t="s">
        <v>111</v>
      </c>
      <c r="X91" s="102">
        <v>0</v>
      </c>
      <c r="Y91" s="102">
        <v>1</v>
      </c>
      <c r="Z91" s="102">
        <v>1</v>
      </c>
      <c r="AA91" s="102"/>
      <c r="AB91" s="102"/>
      <c r="AC91" s="112"/>
      <c r="AD91" s="103"/>
    </row>
    <row r="92" spans="2:30" ht="43.2" x14ac:dyDescent="0.3">
      <c r="B92" s="268" t="s">
        <v>276</v>
      </c>
      <c r="C92" s="270" t="s">
        <v>453</v>
      </c>
      <c r="D92" s="269" t="s">
        <v>454</v>
      </c>
      <c r="Q92" s="116" t="s">
        <v>446</v>
      </c>
      <c r="R92" s="65" t="s">
        <v>441</v>
      </c>
      <c r="S92" s="65" t="s">
        <v>441</v>
      </c>
      <c r="T92" s="102"/>
      <c r="U92" s="102" t="s">
        <v>110</v>
      </c>
      <c r="V92" s="102">
        <v>1</v>
      </c>
      <c r="W92" s="102" t="s">
        <v>111</v>
      </c>
      <c r="X92" s="102">
        <v>0</v>
      </c>
      <c r="Y92" s="102">
        <v>1</v>
      </c>
      <c r="Z92" s="102">
        <v>1</v>
      </c>
      <c r="AA92" s="102" t="s">
        <v>177</v>
      </c>
      <c r="AB92" s="102" t="s">
        <v>104</v>
      </c>
      <c r="AC92" s="112"/>
      <c r="AD92" s="103"/>
    </row>
    <row r="93" spans="2:30" ht="28.8" x14ac:dyDescent="0.3">
      <c r="B93" s="272" t="s">
        <v>436</v>
      </c>
      <c r="C93" s="265" t="s">
        <v>35</v>
      </c>
      <c r="D93" s="263" t="s">
        <v>159</v>
      </c>
      <c r="Q93" s="116" t="s">
        <v>446</v>
      </c>
      <c r="R93" s="65" t="s">
        <v>443</v>
      </c>
      <c r="S93" s="65" t="s">
        <v>443</v>
      </c>
      <c r="T93" s="102"/>
      <c r="U93" s="102" t="s">
        <v>110</v>
      </c>
      <c r="V93" s="102">
        <v>2</v>
      </c>
      <c r="W93" s="102" t="s">
        <v>111</v>
      </c>
      <c r="X93" s="102">
        <v>0</v>
      </c>
      <c r="Y93" s="102">
        <v>1</v>
      </c>
      <c r="Z93" s="102">
        <v>1</v>
      </c>
      <c r="AA93" s="102" t="s">
        <v>177</v>
      </c>
      <c r="AB93" s="102" t="s">
        <v>104</v>
      </c>
      <c r="AC93" s="112"/>
      <c r="AD93" s="103"/>
    </row>
    <row r="94" spans="2:30" ht="28.8" x14ac:dyDescent="0.3">
      <c r="B94" s="272" t="s">
        <v>436</v>
      </c>
      <c r="C94" s="265" t="s">
        <v>34</v>
      </c>
      <c r="D94" s="263" t="s">
        <v>156</v>
      </c>
      <c r="Q94" s="118" t="s">
        <v>214</v>
      </c>
      <c r="R94" s="119" t="s">
        <v>34</v>
      </c>
      <c r="S94" s="119" t="s">
        <v>34</v>
      </c>
      <c r="T94" s="120"/>
      <c r="U94" s="120" t="s">
        <v>89</v>
      </c>
      <c r="V94" s="120">
        <v>1</v>
      </c>
      <c r="W94" s="120"/>
      <c r="X94" s="120"/>
      <c r="Y94" s="120"/>
      <c r="Z94" s="120"/>
      <c r="AA94" s="120"/>
      <c r="AB94" s="120"/>
      <c r="AC94" s="121"/>
      <c r="AD94" s="122"/>
    </row>
    <row r="95" spans="2:30" ht="28.8" x14ac:dyDescent="0.3">
      <c r="B95" s="272" t="s">
        <v>436</v>
      </c>
      <c r="C95" s="265" t="s">
        <v>119</v>
      </c>
      <c r="D95" s="263" t="s">
        <v>157</v>
      </c>
      <c r="Q95" s="118" t="s">
        <v>214</v>
      </c>
      <c r="R95" s="119" t="s">
        <v>290</v>
      </c>
      <c r="S95" s="119" t="s">
        <v>292</v>
      </c>
      <c r="T95" s="120" t="s">
        <v>92</v>
      </c>
      <c r="U95" s="120" t="s">
        <v>93</v>
      </c>
      <c r="V95" s="120"/>
      <c r="W95" s="120"/>
      <c r="X95" s="120"/>
      <c r="Y95" s="120"/>
      <c r="Z95" s="120"/>
      <c r="AA95" s="120"/>
      <c r="AB95" s="120"/>
      <c r="AC95" s="121"/>
      <c r="AD95" s="122" t="s">
        <v>293</v>
      </c>
    </row>
    <row r="96" spans="2:30" ht="28.8" x14ac:dyDescent="0.3">
      <c r="B96" s="272" t="s">
        <v>436</v>
      </c>
      <c r="C96" s="265" t="s">
        <v>45</v>
      </c>
      <c r="D96" s="263" t="s">
        <v>158</v>
      </c>
      <c r="Q96" s="118" t="s">
        <v>214</v>
      </c>
      <c r="R96" s="119" t="s">
        <v>238</v>
      </c>
      <c r="S96" s="119" t="s">
        <v>237</v>
      </c>
      <c r="T96" s="120" t="s">
        <v>134</v>
      </c>
      <c r="U96" s="120" t="s">
        <v>93</v>
      </c>
      <c r="V96" s="120"/>
      <c r="W96" s="120"/>
      <c r="X96" s="120"/>
      <c r="Y96" s="120"/>
      <c r="Z96" s="120"/>
      <c r="AA96" s="120"/>
      <c r="AB96" s="120"/>
      <c r="AC96" s="121"/>
      <c r="AD96" s="122" t="s">
        <v>293</v>
      </c>
    </row>
    <row r="97" spans="2:30" ht="28.8" x14ac:dyDescent="0.3">
      <c r="B97" s="272" t="s">
        <v>436</v>
      </c>
      <c r="C97" s="265" t="s">
        <v>8</v>
      </c>
      <c r="D97" s="263" t="s">
        <v>296</v>
      </c>
      <c r="Q97" s="118" t="s">
        <v>214</v>
      </c>
      <c r="R97" s="119" t="s">
        <v>205</v>
      </c>
      <c r="S97" s="119" t="s">
        <v>91</v>
      </c>
      <c r="T97" s="120" t="s">
        <v>92</v>
      </c>
      <c r="U97" s="120" t="s">
        <v>93</v>
      </c>
      <c r="V97" s="120"/>
      <c r="W97" s="120"/>
      <c r="X97" s="120"/>
      <c r="Y97" s="120"/>
      <c r="Z97" s="120"/>
      <c r="AA97" s="120"/>
      <c r="AB97" s="120"/>
      <c r="AC97" s="121"/>
      <c r="AD97" s="122" t="s">
        <v>293</v>
      </c>
    </row>
    <row r="98" spans="2:30" ht="57.6" x14ac:dyDescent="0.3">
      <c r="B98" s="273" t="s">
        <v>436</v>
      </c>
      <c r="C98" s="270" t="s">
        <v>297</v>
      </c>
      <c r="D98" s="269" t="s">
        <v>298</v>
      </c>
      <c r="Q98" s="118" t="s">
        <v>214</v>
      </c>
      <c r="R98" s="119" t="s">
        <v>206</v>
      </c>
      <c r="S98" s="119" t="s">
        <v>97</v>
      </c>
      <c r="T98" s="120" t="s">
        <v>92</v>
      </c>
      <c r="U98" s="120" t="s">
        <v>93</v>
      </c>
      <c r="V98" s="120"/>
      <c r="W98" s="120"/>
      <c r="X98" s="120"/>
      <c r="Y98" s="120"/>
      <c r="Z98" s="120"/>
      <c r="AA98" s="120"/>
      <c r="AB98" s="120"/>
      <c r="AC98" s="121"/>
      <c r="AD98" s="122" t="s">
        <v>293</v>
      </c>
    </row>
    <row r="99" spans="2:30" ht="28.8" x14ac:dyDescent="0.3">
      <c r="B99" s="273" t="s">
        <v>436</v>
      </c>
      <c r="C99" s="270" t="s">
        <v>299</v>
      </c>
      <c r="D99" s="269" t="s">
        <v>300</v>
      </c>
      <c r="Q99" s="118" t="s">
        <v>214</v>
      </c>
      <c r="R99" s="119" t="s">
        <v>207</v>
      </c>
      <c r="S99" s="119" t="s">
        <v>101</v>
      </c>
      <c r="T99" s="120" t="s">
        <v>92</v>
      </c>
      <c r="U99" s="120" t="s">
        <v>93</v>
      </c>
      <c r="V99" s="120"/>
      <c r="W99" s="120"/>
      <c r="X99" s="120"/>
      <c r="Y99" s="120"/>
      <c r="Z99" s="120"/>
      <c r="AA99" s="120"/>
      <c r="AB99" s="120"/>
      <c r="AC99" s="121"/>
      <c r="AD99" s="122" t="s">
        <v>293</v>
      </c>
    </row>
    <row r="100" spans="2:30" ht="28.8" x14ac:dyDescent="0.3">
      <c r="B100" s="273" t="s">
        <v>436</v>
      </c>
      <c r="C100" s="270" t="s">
        <v>304</v>
      </c>
      <c r="D100" s="269" t="s">
        <v>437</v>
      </c>
      <c r="Q100" s="118" t="s">
        <v>214</v>
      </c>
      <c r="R100" s="119" t="s">
        <v>207</v>
      </c>
      <c r="S100" s="119" t="s">
        <v>104</v>
      </c>
      <c r="T100" s="120" t="s">
        <v>92</v>
      </c>
      <c r="U100" s="120" t="s">
        <v>93</v>
      </c>
      <c r="V100" s="120"/>
      <c r="W100" s="120"/>
      <c r="X100" s="120"/>
      <c r="Y100" s="120"/>
      <c r="Z100" s="120"/>
      <c r="AA100" s="120"/>
      <c r="AB100" s="120"/>
      <c r="AC100" s="121" t="s">
        <v>135</v>
      </c>
      <c r="AD100" s="122" t="s">
        <v>294</v>
      </c>
    </row>
    <row r="101" spans="2:30" ht="28.8" x14ac:dyDescent="0.3">
      <c r="B101" s="272" t="s">
        <v>295</v>
      </c>
      <c r="C101" s="265" t="s">
        <v>35</v>
      </c>
      <c r="D101" s="263" t="s">
        <v>159</v>
      </c>
      <c r="Q101" s="118" t="s">
        <v>214</v>
      </c>
      <c r="R101" s="119" t="s">
        <v>216</v>
      </c>
      <c r="S101" s="119" t="s">
        <v>220</v>
      </c>
      <c r="T101" s="120" t="s">
        <v>92</v>
      </c>
      <c r="U101" s="120" t="s">
        <v>93</v>
      </c>
      <c r="V101" s="120"/>
      <c r="W101" s="120"/>
      <c r="X101" s="120"/>
      <c r="Y101" s="120"/>
      <c r="Z101" s="120"/>
      <c r="AA101" s="120"/>
      <c r="AB101" s="120"/>
      <c r="AC101" s="121"/>
      <c r="AD101" s="122" t="s">
        <v>293</v>
      </c>
    </row>
    <row r="102" spans="2:30" ht="28.8" x14ac:dyDescent="0.3">
      <c r="B102" s="272" t="s">
        <v>295</v>
      </c>
      <c r="C102" s="265" t="s">
        <v>34</v>
      </c>
      <c r="D102" s="263" t="s">
        <v>156</v>
      </c>
      <c r="Q102" s="118" t="s">
        <v>214</v>
      </c>
      <c r="R102" s="119" t="s">
        <v>216</v>
      </c>
      <c r="S102" s="119" t="s">
        <v>221</v>
      </c>
      <c r="T102" s="120" t="s">
        <v>92</v>
      </c>
      <c r="U102" s="120" t="s">
        <v>93</v>
      </c>
      <c r="V102" s="120"/>
      <c r="W102" s="120"/>
      <c r="X102" s="120"/>
      <c r="Y102" s="120"/>
      <c r="Z102" s="120"/>
      <c r="AA102" s="120"/>
      <c r="AB102" s="120"/>
      <c r="AC102" s="121" t="s">
        <v>135</v>
      </c>
      <c r="AD102" s="122" t="s">
        <v>294</v>
      </c>
    </row>
    <row r="103" spans="2:30" ht="28.8" x14ac:dyDescent="0.3">
      <c r="B103" s="272" t="s">
        <v>295</v>
      </c>
      <c r="C103" s="265" t="s">
        <v>119</v>
      </c>
      <c r="D103" s="263" t="s">
        <v>157</v>
      </c>
      <c r="Q103" s="118" t="s">
        <v>214</v>
      </c>
      <c r="R103" s="119" t="s">
        <v>208</v>
      </c>
      <c r="S103" s="119" t="s">
        <v>208</v>
      </c>
      <c r="T103" s="120"/>
      <c r="U103" s="120" t="s">
        <v>130</v>
      </c>
      <c r="V103" s="120">
        <v>1</v>
      </c>
      <c r="W103" s="120" t="s">
        <v>111</v>
      </c>
      <c r="X103" s="120">
        <v>0</v>
      </c>
      <c r="Y103" s="120">
        <v>1</v>
      </c>
      <c r="Z103" s="120">
        <v>1</v>
      </c>
      <c r="AA103" s="120"/>
      <c r="AB103" s="120"/>
      <c r="AC103" s="121"/>
      <c r="AD103" s="122"/>
    </row>
    <row r="104" spans="2:30" ht="28.8" x14ac:dyDescent="0.3">
      <c r="B104" s="272" t="s">
        <v>295</v>
      </c>
      <c r="C104" s="265" t="s">
        <v>45</v>
      </c>
      <c r="D104" s="263" t="s">
        <v>158</v>
      </c>
      <c r="Q104" s="118" t="s">
        <v>214</v>
      </c>
      <c r="R104" s="119" t="s">
        <v>200</v>
      </c>
      <c r="S104" s="119" t="s">
        <v>200</v>
      </c>
      <c r="T104" s="120"/>
      <c r="U104" s="120" t="s">
        <v>110</v>
      </c>
      <c r="V104" s="120">
        <v>1</v>
      </c>
      <c r="W104" s="120" t="s">
        <v>111</v>
      </c>
      <c r="X104" s="120">
        <v>0</v>
      </c>
      <c r="Y104" s="120">
        <v>1</v>
      </c>
      <c r="Z104" s="120">
        <v>1</v>
      </c>
      <c r="AA104" s="120" t="s">
        <v>177</v>
      </c>
      <c r="AB104" s="120" t="s">
        <v>104</v>
      </c>
      <c r="AC104" s="121"/>
      <c r="AD104" s="122"/>
    </row>
    <row r="105" spans="2:30" ht="28.8" x14ac:dyDescent="0.3">
      <c r="B105" s="272" t="s">
        <v>295</v>
      </c>
      <c r="C105" s="265" t="s">
        <v>8</v>
      </c>
      <c r="D105" s="263" t="s">
        <v>296</v>
      </c>
      <c r="Q105" s="118" t="s">
        <v>214</v>
      </c>
      <c r="R105" s="119" t="s">
        <v>202</v>
      </c>
      <c r="S105" s="119" t="s">
        <v>215</v>
      </c>
      <c r="T105" s="120"/>
      <c r="U105" s="120" t="s">
        <v>110</v>
      </c>
      <c r="V105" s="120">
        <v>2</v>
      </c>
      <c r="W105" s="120" t="s">
        <v>111</v>
      </c>
      <c r="X105" s="120">
        <v>0</v>
      </c>
      <c r="Y105" s="120">
        <v>1</v>
      </c>
      <c r="Z105" s="120">
        <v>1</v>
      </c>
      <c r="AA105" s="120" t="s">
        <v>177</v>
      </c>
      <c r="AB105" s="120" t="s">
        <v>104</v>
      </c>
      <c r="AC105" s="121"/>
      <c r="AD105" s="122"/>
    </row>
    <row r="106" spans="2:30" ht="57.6" x14ac:dyDescent="0.3">
      <c r="B106" s="273" t="s">
        <v>295</v>
      </c>
      <c r="C106" s="270" t="s">
        <v>297</v>
      </c>
      <c r="D106" s="269" t="s">
        <v>298</v>
      </c>
      <c r="Q106" s="132" t="s">
        <v>263</v>
      </c>
      <c r="R106" s="133" t="s">
        <v>34</v>
      </c>
      <c r="S106" s="133" t="s">
        <v>34</v>
      </c>
      <c r="T106" s="134"/>
      <c r="U106" s="134" t="s">
        <v>89</v>
      </c>
      <c r="V106" s="134">
        <v>1</v>
      </c>
      <c r="W106" s="134"/>
      <c r="X106" s="134"/>
      <c r="Y106" s="134"/>
      <c r="Z106" s="134"/>
      <c r="AA106" s="134"/>
      <c r="AB106" s="134"/>
      <c r="AC106" s="135"/>
      <c r="AD106" s="136"/>
    </row>
    <row r="107" spans="2:30" ht="28.8" x14ac:dyDescent="0.3">
      <c r="B107" s="273" t="s">
        <v>295</v>
      </c>
      <c r="C107" s="270" t="s">
        <v>299</v>
      </c>
      <c r="D107" s="269" t="s">
        <v>300</v>
      </c>
      <c r="Q107" s="132" t="s">
        <v>263</v>
      </c>
      <c r="R107" s="133" t="s">
        <v>290</v>
      </c>
      <c r="S107" s="133" t="s">
        <v>292</v>
      </c>
      <c r="T107" s="134" t="s">
        <v>92</v>
      </c>
      <c r="U107" s="134" t="s">
        <v>93</v>
      </c>
      <c r="V107" s="134"/>
      <c r="W107" s="134"/>
      <c r="X107" s="134"/>
      <c r="Y107" s="134"/>
      <c r="Z107" s="134"/>
      <c r="AA107" s="134"/>
      <c r="AB107" s="134"/>
      <c r="AC107" s="135"/>
      <c r="AD107" s="136" t="s">
        <v>293</v>
      </c>
    </row>
    <row r="108" spans="2:30" ht="28.8" x14ac:dyDescent="0.3">
      <c r="B108" s="272" t="s">
        <v>320</v>
      </c>
      <c r="C108" s="265" t="s">
        <v>35</v>
      </c>
      <c r="D108" s="263" t="s">
        <v>159</v>
      </c>
      <c r="Q108" s="132" t="s">
        <v>263</v>
      </c>
      <c r="R108" s="133" t="s">
        <v>238</v>
      </c>
      <c r="S108" s="133" t="s">
        <v>237</v>
      </c>
      <c r="T108" s="134" t="s">
        <v>134</v>
      </c>
      <c r="U108" s="134" t="s">
        <v>93</v>
      </c>
      <c r="V108" s="134"/>
      <c r="W108" s="134"/>
      <c r="X108" s="134"/>
      <c r="Y108" s="134"/>
      <c r="Z108" s="134"/>
      <c r="AA108" s="134"/>
      <c r="AB108" s="134"/>
      <c r="AC108" s="135"/>
      <c r="AD108" s="136" t="s">
        <v>293</v>
      </c>
    </row>
    <row r="109" spans="2:30" ht="28.8" x14ac:dyDescent="0.3">
      <c r="B109" s="272" t="s">
        <v>320</v>
      </c>
      <c r="C109" s="265" t="s">
        <v>34</v>
      </c>
      <c r="D109" s="263" t="s">
        <v>156</v>
      </c>
      <c r="Q109" s="132" t="s">
        <v>263</v>
      </c>
      <c r="R109" s="133" t="s">
        <v>205</v>
      </c>
      <c r="S109" s="133" t="s">
        <v>91</v>
      </c>
      <c r="T109" s="134" t="s">
        <v>92</v>
      </c>
      <c r="U109" s="134" t="s">
        <v>93</v>
      </c>
      <c r="V109" s="134"/>
      <c r="W109" s="134"/>
      <c r="X109" s="134"/>
      <c r="Y109" s="134"/>
      <c r="Z109" s="134"/>
      <c r="AA109" s="134"/>
      <c r="AB109" s="134"/>
      <c r="AC109" s="135"/>
      <c r="AD109" s="136" t="s">
        <v>293</v>
      </c>
    </row>
    <row r="110" spans="2:30" ht="28.8" x14ac:dyDescent="0.3">
      <c r="B110" s="272" t="s">
        <v>320</v>
      </c>
      <c r="C110" s="265" t="s">
        <v>119</v>
      </c>
      <c r="D110" s="263" t="s">
        <v>157</v>
      </c>
      <c r="Q110" s="132" t="s">
        <v>263</v>
      </c>
      <c r="R110" s="133" t="s">
        <v>206</v>
      </c>
      <c r="S110" s="133" t="s">
        <v>97</v>
      </c>
      <c r="T110" s="134" t="s">
        <v>92</v>
      </c>
      <c r="U110" s="134" t="s">
        <v>93</v>
      </c>
      <c r="V110" s="134"/>
      <c r="W110" s="134"/>
      <c r="X110" s="134"/>
      <c r="Y110" s="134"/>
      <c r="Z110" s="134"/>
      <c r="AA110" s="134"/>
      <c r="AB110" s="134"/>
      <c r="AC110" s="135"/>
      <c r="AD110" s="136" t="s">
        <v>293</v>
      </c>
    </row>
    <row r="111" spans="2:30" ht="28.8" x14ac:dyDescent="0.3">
      <c r="B111" s="272" t="s">
        <v>320</v>
      </c>
      <c r="C111" s="265" t="s">
        <v>45</v>
      </c>
      <c r="D111" s="263" t="s">
        <v>158</v>
      </c>
      <c r="Q111" s="132" t="s">
        <v>263</v>
      </c>
      <c r="R111" s="133" t="s">
        <v>207</v>
      </c>
      <c r="S111" s="133" t="s">
        <v>101</v>
      </c>
      <c r="T111" s="134" t="s">
        <v>92</v>
      </c>
      <c r="U111" s="134" t="s">
        <v>93</v>
      </c>
      <c r="V111" s="134"/>
      <c r="W111" s="134"/>
      <c r="X111" s="134"/>
      <c r="Y111" s="134"/>
      <c r="Z111" s="134"/>
      <c r="AA111" s="134"/>
      <c r="AB111" s="134"/>
      <c r="AC111" s="135"/>
      <c r="AD111" s="136" t="s">
        <v>293</v>
      </c>
    </row>
    <row r="112" spans="2:30" ht="57.6" x14ac:dyDescent="0.3">
      <c r="B112" s="273" t="s">
        <v>320</v>
      </c>
      <c r="C112" s="270" t="s">
        <v>8</v>
      </c>
      <c r="D112" s="269" t="s">
        <v>325</v>
      </c>
      <c r="Q112" s="132" t="s">
        <v>263</v>
      </c>
      <c r="R112" s="133" t="s">
        <v>207</v>
      </c>
      <c r="S112" s="133" t="s">
        <v>104</v>
      </c>
      <c r="T112" s="134" t="s">
        <v>92</v>
      </c>
      <c r="U112" s="134" t="s">
        <v>93</v>
      </c>
      <c r="V112" s="134"/>
      <c r="W112" s="134"/>
      <c r="X112" s="134"/>
      <c r="Y112" s="134"/>
      <c r="Z112" s="134"/>
      <c r="AA112" s="134"/>
      <c r="AB112" s="134"/>
      <c r="AC112" s="135" t="s">
        <v>135</v>
      </c>
      <c r="AD112" s="136" t="s">
        <v>294</v>
      </c>
    </row>
    <row r="113" spans="2:30" ht="43.2" x14ac:dyDescent="0.3">
      <c r="B113" s="273" t="s">
        <v>320</v>
      </c>
      <c r="C113" s="274" t="s">
        <v>13</v>
      </c>
      <c r="D113" s="269" t="s">
        <v>326</v>
      </c>
      <c r="Q113" s="132" t="s">
        <v>263</v>
      </c>
      <c r="R113" s="133" t="s">
        <v>216</v>
      </c>
      <c r="S113" s="133" t="s">
        <v>220</v>
      </c>
      <c r="T113" s="134" t="s">
        <v>92</v>
      </c>
      <c r="U113" s="134" t="s">
        <v>93</v>
      </c>
      <c r="V113" s="134"/>
      <c r="W113" s="134"/>
      <c r="X113" s="134"/>
      <c r="Y113" s="134"/>
      <c r="Z113" s="134"/>
      <c r="AA113" s="134"/>
      <c r="AB113" s="134"/>
      <c r="AC113" s="135"/>
      <c r="AD113" s="136" t="s">
        <v>293</v>
      </c>
    </row>
    <row r="114" spans="2:30" ht="28.8" x14ac:dyDescent="0.3">
      <c r="B114" s="273" t="s">
        <v>320</v>
      </c>
      <c r="C114" s="274" t="s">
        <v>7</v>
      </c>
      <c r="D114" s="275" t="s">
        <v>327</v>
      </c>
      <c r="Q114" s="132" t="s">
        <v>263</v>
      </c>
      <c r="R114" s="133" t="s">
        <v>216</v>
      </c>
      <c r="S114" s="133" t="s">
        <v>221</v>
      </c>
      <c r="T114" s="134" t="s">
        <v>92</v>
      </c>
      <c r="U114" s="134" t="s">
        <v>93</v>
      </c>
      <c r="V114" s="134"/>
      <c r="W114" s="134"/>
      <c r="X114" s="134"/>
      <c r="Y114" s="134"/>
      <c r="Z114" s="134"/>
      <c r="AA114" s="134"/>
      <c r="AB114" s="134"/>
      <c r="AC114" s="135" t="s">
        <v>135</v>
      </c>
      <c r="AD114" s="136" t="s">
        <v>294</v>
      </c>
    </row>
    <row r="115" spans="2:30" ht="28.8" x14ac:dyDescent="0.3">
      <c r="B115" s="272" t="s">
        <v>419</v>
      </c>
      <c r="C115" s="265" t="s">
        <v>35</v>
      </c>
      <c r="D115" s="263" t="s">
        <v>159</v>
      </c>
      <c r="Q115" s="132" t="s">
        <v>263</v>
      </c>
      <c r="R115" s="133" t="s">
        <v>208</v>
      </c>
      <c r="S115" s="133" t="s">
        <v>208</v>
      </c>
      <c r="T115" s="134"/>
      <c r="U115" s="134" t="s">
        <v>130</v>
      </c>
      <c r="V115" s="134">
        <v>1</v>
      </c>
      <c r="W115" s="134" t="s">
        <v>111</v>
      </c>
      <c r="X115" s="134">
        <v>0</v>
      </c>
      <c r="Y115" s="134">
        <v>1</v>
      </c>
      <c r="Z115" s="134">
        <v>1</v>
      </c>
      <c r="AA115" s="134"/>
      <c r="AB115" s="134"/>
      <c r="AC115" s="135"/>
      <c r="AD115" s="136"/>
    </row>
    <row r="116" spans="2:30" ht="28.8" x14ac:dyDescent="0.3">
      <c r="B116" s="272" t="s">
        <v>419</v>
      </c>
      <c r="C116" s="265" t="s">
        <v>34</v>
      </c>
      <c r="D116" s="263" t="s">
        <v>156</v>
      </c>
      <c r="Q116" s="132" t="s">
        <v>263</v>
      </c>
      <c r="R116" s="133" t="s">
        <v>200</v>
      </c>
      <c r="S116" s="133" t="s">
        <v>200</v>
      </c>
      <c r="T116" s="134"/>
      <c r="U116" s="134" t="s">
        <v>110</v>
      </c>
      <c r="V116" s="134">
        <v>1</v>
      </c>
      <c r="W116" s="134" t="s">
        <v>111</v>
      </c>
      <c r="X116" s="134">
        <v>0</v>
      </c>
      <c r="Y116" s="134">
        <v>1</v>
      </c>
      <c r="Z116" s="134">
        <v>1</v>
      </c>
      <c r="AA116" s="134" t="s">
        <v>177</v>
      </c>
      <c r="AB116" s="134" t="s">
        <v>104</v>
      </c>
      <c r="AC116" s="135"/>
      <c r="AD116" s="136"/>
    </row>
    <row r="117" spans="2:30" ht="28.8" x14ac:dyDescent="0.3">
      <c r="B117" s="272" t="s">
        <v>419</v>
      </c>
      <c r="C117" s="265" t="s">
        <v>119</v>
      </c>
      <c r="D117" s="263" t="s">
        <v>157</v>
      </c>
      <c r="Q117" s="132" t="s">
        <v>263</v>
      </c>
      <c r="R117" s="133" t="s">
        <v>202</v>
      </c>
      <c r="S117" s="133" t="s">
        <v>215</v>
      </c>
      <c r="T117" s="134"/>
      <c r="U117" s="134" t="s">
        <v>110</v>
      </c>
      <c r="V117" s="134">
        <v>2</v>
      </c>
      <c r="W117" s="134" t="s">
        <v>111</v>
      </c>
      <c r="X117" s="134">
        <v>0</v>
      </c>
      <c r="Y117" s="134">
        <v>1</v>
      </c>
      <c r="Z117" s="134">
        <v>1</v>
      </c>
      <c r="AA117" s="134" t="s">
        <v>177</v>
      </c>
      <c r="AB117" s="134" t="s">
        <v>104</v>
      </c>
      <c r="AC117" s="135"/>
      <c r="AD117" s="136"/>
    </row>
    <row r="118" spans="2:30" ht="28.8" x14ac:dyDescent="0.3">
      <c r="B118" s="272" t="s">
        <v>419</v>
      </c>
      <c r="C118" s="265" t="s">
        <v>45</v>
      </c>
      <c r="D118" s="263" t="s">
        <v>158</v>
      </c>
      <c r="Q118" s="132" t="s">
        <v>263</v>
      </c>
      <c r="R118" s="133" t="s">
        <v>269</v>
      </c>
      <c r="S118" s="133" t="s">
        <v>269</v>
      </c>
      <c r="T118" s="134"/>
      <c r="U118" s="134" t="s">
        <v>110</v>
      </c>
      <c r="V118" s="134">
        <v>3</v>
      </c>
      <c r="W118" s="134" t="s">
        <v>185</v>
      </c>
      <c r="X118" s="134">
        <v>0</v>
      </c>
      <c r="Y118" s="134">
        <v>0</v>
      </c>
      <c r="Z118" s="134">
        <v>0</v>
      </c>
      <c r="AA118" s="134" t="s">
        <v>112</v>
      </c>
      <c r="AB118" s="134" t="s">
        <v>269</v>
      </c>
      <c r="AC118" s="135"/>
      <c r="AD118" s="136" t="s">
        <v>187</v>
      </c>
    </row>
    <row r="119" spans="2:30" ht="28.8" x14ac:dyDescent="0.3">
      <c r="B119" s="272" t="s">
        <v>419</v>
      </c>
      <c r="C119" s="265" t="s">
        <v>424</v>
      </c>
      <c r="D119" s="263" t="s">
        <v>426</v>
      </c>
      <c r="Q119" s="132" t="s">
        <v>263</v>
      </c>
      <c r="R119" s="133" t="s">
        <v>270</v>
      </c>
      <c r="S119" s="133" t="s">
        <v>271</v>
      </c>
      <c r="T119" s="134"/>
      <c r="U119" s="134" t="s">
        <v>110</v>
      </c>
      <c r="V119" s="134">
        <v>4</v>
      </c>
      <c r="W119" s="134" t="s">
        <v>185</v>
      </c>
      <c r="X119" s="134">
        <v>0</v>
      </c>
      <c r="Y119" s="134">
        <v>0</v>
      </c>
      <c r="Z119" s="134">
        <v>0</v>
      </c>
      <c r="AA119" s="134" t="s">
        <v>112</v>
      </c>
      <c r="AB119" s="134" t="s">
        <v>271</v>
      </c>
      <c r="AC119" s="135"/>
      <c r="AD119" s="136" t="s">
        <v>187</v>
      </c>
    </row>
    <row r="120" spans="2:30" ht="28.8" x14ac:dyDescent="0.3">
      <c r="B120" s="272" t="s">
        <v>419</v>
      </c>
      <c r="C120" s="265" t="s">
        <v>425</v>
      </c>
      <c r="D120" s="263" t="s">
        <v>427</v>
      </c>
      <c r="Q120" s="132" t="s">
        <v>263</v>
      </c>
      <c r="R120" s="133" t="s">
        <v>272</v>
      </c>
      <c r="S120" s="133" t="s">
        <v>273</v>
      </c>
      <c r="T120" s="134"/>
      <c r="U120" s="134" t="s">
        <v>110</v>
      </c>
      <c r="V120" s="134">
        <v>5</v>
      </c>
      <c r="W120" s="134" t="s">
        <v>185</v>
      </c>
      <c r="X120" s="134">
        <v>0</v>
      </c>
      <c r="Y120" s="134">
        <v>0</v>
      </c>
      <c r="Z120" s="134">
        <v>0</v>
      </c>
      <c r="AA120" s="134" t="s">
        <v>112</v>
      </c>
      <c r="AB120" s="134" t="s">
        <v>273</v>
      </c>
      <c r="AC120" s="135"/>
      <c r="AD120" s="136"/>
    </row>
    <row r="121" spans="2:30" ht="43.2" x14ac:dyDescent="0.3">
      <c r="B121" s="272" t="s">
        <v>419</v>
      </c>
      <c r="C121" s="265" t="s">
        <v>423</v>
      </c>
      <c r="D121" s="263" t="s">
        <v>428</v>
      </c>
      <c r="Q121" s="117" t="s">
        <v>230</v>
      </c>
      <c r="R121" s="108" t="s">
        <v>34</v>
      </c>
      <c r="S121" s="108" t="s">
        <v>34</v>
      </c>
      <c r="T121" s="109"/>
      <c r="U121" s="109" t="s">
        <v>89</v>
      </c>
      <c r="V121" s="109">
        <v>1</v>
      </c>
      <c r="W121" s="109"/>
      <c r="X121" s="109"/>
      <c r="Y121" s="109"/>
      <c r="Z121" s="109"/>
      <c r="AA121" s="109"/>
      <c r="AB121" s="109"/>
      <c r="AC121" s="123"/>
      <c r="AD121" s="110"/>
    </row>
    <row r="122" spans="2:30" ht="28.8" x14ac:dyDescent="0.3">
      <c r="B122" s="272" t="s">
        <v>419</v>
      </c>
      <c r="C122" s="265" t="s">
        <v>431</v>
      </c>
      <c r="D122" s="263" t="s">
        <v>95</v>
      </c>
      <c r="Q122" s="117" t="s">
        <v>230</v>
      </c>
      <c r="R122" s="108" t="s">
        <v>290</v>
      </c>
      <c r="S122" s="108" t="s">
        <v>292</v>
      </c>
      <c r="T122" s="109" t="s">
        <v>92</v>
      </c>
      <c r="U122" s="109" t="s">
        <v>93</v>
      </c>
      <c r="V122" s="109"/>
      <c r="W122" s="109"/>
      <c r="X122" s="109"/>
      <c r="Y122" s="109"/>
      <c r="Z122" s="109"/>
      <c r="AA122" s="109"/>
      <c r="AB122" s="109"/>
      <c r="AC122" s="123"/>
      <c r="AD122" s="110" t="s">
        <v>293</v>
      </c>
    </row>
    <row r="123" spans="2:30" ht="28.8" x14ac:dyDescent="0.3">
      <c r="B123" s="273" t="s">
        <v>334</v>
      </c>
      <c r="C123" s="265" t="s">
        <v>34</v>
      </c>
      <c r="D123" s="263" t="s">
        <v>156</v>
      </c>
      <c r="Q123" s="117" t="s">
        <v>230</v>
      </c>
      <c r="R123" s="108" t="s">
        <v>238</v>
      </c>
      <c r="S123" s="108" t="s">
        <v>237</v>
      </c>
      <c r="T123" s="109" t="s">
        <v>134</v>
      </c>
      <c r="U123" s="109" t="s">
        <v>93</v>
      </c>
      <c r="V123" s="109"/>
      <c r="W123" s="109"/>
      <c r="X123" s="109"/>
      <c r="Y123" s="109"/>
      <c r="Z123" s="109"/>
      <c r="AA123" s="109"/>
      <c r="AB123" s="109"/>
      <c r="AC123" s="123"/>
      <c r="AD123" s="110" t="s">
        <v>293</v>
      </c>
    </row>
    <row r="124" spans="2:30" ht="28.8" x14ac:dyDescent="0.3">
      <c r="B124" s="273" t="s">
        <v>334</v>
      </c>
      <c r="C124" s="265" t="s">
        <v>35</v>
      </c>
      <c r="D124" s="263" t="s">
        <v>159</v>
      </c>
      <c r="Q124" s="117" t="s">
        <v>230</v>
      </c>
      <c r="R124" s="108" t="s">
        <v>205</v>
      </c>
      <c r="S124" s="108" t="s">
        <v>91</v>
      </c>
      <c r="T124" s="109" t="s">
        <v>92</v>
      </c>
      <c r="U124" s="109" t="s">
        <v>93</v>
      </c>
      <c r="V124" s="109"/>
      <c r="W124" s="109"/>
      <c r="X124" s="109"/>
      <c r="Y124" s="109"/>
      <c r="Z124" s="109"/>
      <c r="AA124" s="109"/>
      <c r="AB124" s="109"/>
      <c r="AC124" s="123"/>
      <c r="AD124" s="110" t="s">
        <v>293</v>
      </c>
    </row>
    <row r="125" spans="2:30" ht="28.8" x14ac:dyDescent="0.3">
      <c r="B125" s="273" t="s">
        <v>334</v>
      </c>
      <c r="C125" s="265" t="s">
        <v>119</v>
      </c>
      <c r="D125" s="263" t="s">
        <v>157</v>
      </c>
      <c r="Q125" s="117" t="s">
        <v>230</v>
      </c>
      <c r="R125" s="108" t="s">
        <v>206</v>
      </c>
      <c r="S125" s="108" t="s">
        <v>97</v>
      </c>
      <c r="T125" s="109" t="s">
        <v>92</v>
      </c>
      <c r="U125" s="109" t="s">
        <v>93</v>
      </c>
      <c r="V125" s="109"/>
      <c r="W125" s="109"/>
      <c r="X125" s="109"/>
      <c r="Y125" s="109"/>
      <c r="Z125" s="109"/>
      <c r="AA125" s="109"/>
      <c r="AB125" s="109"/>
      <c r="AC125" s="123"/>
      <c r="AD125" s="110" t="s">
        <v>293</v>
      </c>
    </row>
    <row r="126" spans="2:30" ht="28.8" x14ac:dyDescent="0.3">
      <c r="B126" s="276" t="s">
        <v>334</v>
      </c>
      <c r="C126" s="265" t="s">
        <v>45</v>
      </c>
      <c r="D126" s="263" t="s">
        <v>158</v>
      </c>
      <c r="Q126" s="117" t="s">
        <v>230</v>
      </c>
      <c r="R126" s="108" t="s">
        <v>207</v>
      </c>
      <c r="S126" s="108" t="s">
        <v>101</v>
      </c>
      <c r="T126" s="109" t="s">
        <v>92</v>
      </c>
      <c r="U126" s="109" t="s">
        <v>93</v>
      </c>
      <c r="V126" s="109"/>
      <c r="W126" s="109"/>
      <c r="X126" s="109"/>
      <c r="Y126" s="109"/>
      <c r="Z126" s="109"/>
      <c r="AA126" s="109"/>
      <c r="AB126" s="109"/>
      <c r="AC126" s="123"/>
      <c r="AD126" s="110" t="s">
        <v>293</v>
      </c>
    </row>
    <row r="127" spans="2:30" ht="273.60000000000002" x14ac:dyDescent="0.3">
      <c r="B127" s="276" t="s">
        <v>334</v>
      </c>
      <c r="C127" s="270" t="s">
        <v>337</v>
      </c>
      <c r="D127" s="269" t="s">
        <v>343</v>
      </c>
      <c r="Q127" s="117" t="s">
        <v>230</v>
      </c>
      <c r="R127" s="108" t="s">
        <v>207</v>
      </c>
      <c r="S127" s="108" t="s">
        <v>104</v>
      </c>
      <c r="T127" s="109" t="s">
        <v>92</v>
      </c>
      <c r="U127" s="109" t="s">
        <v>93</v>
      </c>
      <c r="V127" s="109"/>
      <c r="W127" s="109"/>
      <c r="X127" s="109"/>
      <c r="Y127" s="109"/>
      <c r="Z127" s="109"/>
      <c r="AA127" s="109"/>
      <c r="AB127" s="109"/>
      <c r="AC127" s="123" t="s">
        <v>105</v>
      </c>
      <c r="AD127" s="110" t="s">
        <v>294</v>
      </c>
    </row>
    <row r="128" spans="2:30" ht="100.8" x14ac:dyDescent="0.3">
      <c r="B128" s="276" t="s">
        <v>334</v>
      </c>
      <c r="C128" s="274" t="s">
        <v>339</v>
      </c>
      <c r="D128" s="269" t="s">
        <v>340</v>
      </c>
      <c r="Q128" s="117" t="s">
        <v>230</v>
      </c>
      <c r="R128" s="108" t="s">
        <v>216</v>
      </c>
      <c r="S128" s="108" t="s">
        <v>220</v>
      </c>
      <c r="T128" s="109" t="s">
        <v>92</v>
      </c>
      <c r="U128" s="109" t="s">
        <v>93</v>
      </c>
      <c r="V128" s="109"/>
      <c r="W128" s="109"/>
      <c r="X128" s="109"/>
      <c r="Y128" s="109"/>
      <c r="Z128" s="109"/>
      <c r="AA128" s="109"/>
      <c r="AB128" s="109"/>
      <c r="AC128" s="123"/>
      <c r="AD128" s="110" t="s">
        <v>293</v>
      </c>
    </row>
    <row r="129" spans="2:30" ht="244.8" x14ac:dyDescent="0.3">
      <c r="B129" s="276" t="s">
        <v>334</v>
      </c>
      <c r="C129" s="274" t="s">
        <v>96</v>
      </c>
      <c r="D129" s="269" t="s">
        <v>344</v>
      </c>
      <c r="Q129" s="117" t="s">
        <v>230</v>
      </c>
      <c r="R129" s="108" t="s">
        <v>216</v>
      </c>
      <c r="S129" s="108" t="s">
        <v>221</v>
      </c>
      <c r="T129" s="109" t="s">
        <v>92</v>
      </c>
      <c r="U129" s="109" t="s">
        <v>93</v>
      </c>
      <c r="V129" s="109"/>
      <c r="W129" s="109"/>
      <c r="X129" s="109"/>
      <c r="Y129" s="109"/>
      <c r="Z129" s="109"/>
      <c r="AA129" s="109"/>
      <c r="AB129" s="109"/>
      <c r="AC129" s="123" t="s">
        <v>105</v>
      </c>
      <c r="AD129" s="110" t="s">
        <v>294</v>
      </c>
    </row>
    <row r="130" spans="2:30" ht="43.2" x14ac:dyDescent="0.3">
      <c r="B130" s="276" t="s">
        <v>334</v>
      </c>
      <c r="C130" s="270" t="s">
        <v>90</v>
      </c>
      <c r="D130" s="269" t="s">
        <v>341</v>
      </c>
      <c r="Q130" s="117" t="s">
        <v>230</v>
      </c>
      <c r="R130" s="108" t="s">
        <v>208</v>
      </c>
      <c r="S130" s="108" t="s">
        <v>208</v>
      </c>
      <c r="T130" s="109"/>
      <c r="U130" s="109" t="s">
        <v>130</v>
      </c>
      <c r="V130" s="109">
        <v>1</v>
      </c>
      <c r="W130" s="109" t="s">
        <v>111</v>
      </c>
      <c r="X130" s="109">
        <v>0</v>
      </c>
      <c r="Y130" s="109">
        <v>1</v>
      </c>
      <c r="Z130" s="109">
        <v>1</v>
      </c>
      <c r="AA130" s="109"/>
      <c r="AB130" s="109"/>
      <c r="AC130" s="123"/>
      <c r="AD130" s="110"/>
    </row>
    <row r="131" spans="2:30" ht="244.8" x14ac:dyDescent="0.3">
      <c r="B131" s="276" t="s">
        <v>334</v>
      </c>
      <c r="C131" s="270" t="s">
        <v>346</v>
      </c>
      <c r="D131" s="269" t="s">
        <v>347</v>
      </c>
      <c r="Q131" s="117" t="s">
        <v>230</v>
      </c>
      <c r="R131" s="108" t="s">
        <v>200</v>
      </c>
      <c r="S131" s="108" t="s">
        <v>200</v>
      </c>
      <c r="T131" s="109"/>
      <c r="U131" s="109" t="s">
        <v>110</v>
      </c>
      <c r="V131" s="109">
        <v>1</v>
      </c>
      <c r="W131" s="109" t="s">
        <v>111</v>
      </c>
      <c r="X131" s="109">
        <v>0</v>
      </c>
      <c r="Y131" s="109">
        <v>1</v>
      </c>
      <c r="Z131" s="109">
        <v>1</v>
      </c>
      <c r="AA131" s="109" t="s">
        <v>177</v>
      </c>
      <c r="AB131" s="109" t="s">
        <v>104</v>
      </c>
      <c r="AC131" s="123"/>
      <c r="AD131" s="110"/>
    </row>
    <row r="132" spans="2:30" x14ac:dyDescent="0.3">
      <c r="B132" s="276" t="s">
        <v>334</v>
      </c>
      <c r="C132" s="270" t="s">
        <v>595</v>
      </c>
      <c r="D132" s="269" t="s">
        <v>596</v>
      </c>
      <c r="Q132" s="117" t="s">
        <v>230</v>
      </c>
      <c r="R132" s="108" t="s">
        <v>209</v>
      </c>
      <c r="S132" s="108" t="s">
        <v>113</v>
      </c>
      <c r="T132" s="109"/>
      <c r="U132" s="109" t="s">
        <v>110</v>
      </c>
      <c r="V132" s="109">
        <v>2</v>
      </c>
      <c r="W132" s="109" t="s">
        <v>111</v>
      </c>
      <c r="X132" s="109">
        <v>0</v>
      </c>
      <c r="Y132" s="109">
        <v>1</v>
      </c>
      <c r="Z132" s="109">
        <v>1</v>
      </c>
      <c r="AA132" s="109" t="s">
        <v>177</v>
      </c>
      <c r="AB132" s="109" t="s">
        <v>104</v>
      </c>
      <c r="AC132" s="123"/>
      <c r="AD132" s="110"/>
    </row>
    <row r="133" spans="2:30" ht="28.8" x14ac:dyDescent="0.3">
      <c r="B133" s="276" t="s">
        <v>348</v>
      </c>
      <c r="C133" s="265" t="s">
        <v>34</v>
      </c>
      <c r="D133" s="263" t="s">
        <v>156</v>
      </c>
      <c r="Q133" s="117" t="s">
        <v>230</v>
      </c>
      <c r="R133" s="108" t="s">
        <v>210</v>
      </c>
      <c r="S133" s="108" t="s">
        <v>186</v>
      </c>
      <c r="T133" s="109"/>
      <c r="U133" s="109" t="s">
        <v>110</v>
      </c>
      <c r="V133" s="109">
        <v>3</v>
      </c>
      <c r="W133" s="109" t="s">
        <v>185</v>
      </c>
      <c r="X133" s="109">
        <v>0</v>
      </c>
      <c r="Y133" s="109">
        <v>0</v>
      </c>
      <c r="Z133" s="109">
        <v>0</v>
      </c>
      <c r="AA133" s="109" t="s">
        <v>112</v>
      </c>
      <c r="AB133" s="109" t="s">
        <v>186</v>
      </c>
      <c r="AC133" s="123"/>
      <c r="AD133" s="110" t="s">
        <v>187</v>
      </c>
    </row>
    <row r="134" spans="2:30" ht="28.8" x14ac:dyDescent="0.3">
      <c r="B134" s="276" t="s">
        <v>348</v>
      </c>
      <c r="C134" s="265" t="s">
        <v>35</v>
      </c>
      <c r="D134" s="263" t="s">
        <v>159</v>
      </c>
      <c r="Q134" s="117" t="s">
        <v>230</v>
      </c>
      <c r="R134" s="124" t="s">
        <v>204</v>
      </c>
      <c r="S134" s="124" t="s">
        <v>204</v>
      </c>
      <c r="T134" s="111"/>
      <c r="U134" s="111" t="s">
        <v>110</v>
      </c>
      <c r="V134" s="111">
        <v>4</v>
      </c>
      <c r="W134" s="111" t="s">
        <v>185</v>
      </c>
      <c r="X134" s="111">
        <v>0</v>
      </c>
      <c r="Y134" s="111">
        <v>0</v>
      </c>
      <c r="Z134" s="111">
        <v>0</v>
      </c>
      <c r="AA134" s="111" t="s">
        <v>177</v>
      </c>
      <c r="AB134" s="125" t="s">
        <v>204</v>
      </c>
      <c r="AC134" s="126"/>
      <c r="AD134" s="127" t="s">
        <v>293</v>
      </c>
    </row>
    <row r="135" spans="2:30" ht="28.8" x14ac:dyDescent="0.3">
      <c r="B135" s="276" t="s">
        <v>348</v>
      </c>
      <c r="C135" s="265" t="s">
        <v>119</v>
      </c>
      <c r="D135" s="263" t="s">
        <v>349</v>
      </c>
      <c r="Q135" s="128" t="s">
        <v>225</v>
      </c>
      <c r="R135" s="65" t="s">
        <v>34</v>
      </c>
      <c r="S135" s="65" t="s">
        <v>34</v>
      </c>
      <c r="T135" s="102"/>
      <c r="U135" s="102" t="s">
        <v>89</v>
      </c>
      <c r="V135" s="102">
        <v>1</v>
      </c>
      <c r="W135" s="102"/>
      <c r="X135" s="102"/>
      <c r="Y135" s="102"/>
      <c r="Z135" s="102"/>
      <c r="AA135" s="102"/>
      <c r="AB135" s="102"/>
      <c r="AC135" s="112"/>
      <c r="AD135" s="103"/>
    </row>
    <row r="136" spans="2:30" ht="28.8" x14ac:dyDescent="0.3">
      <c r="B136" s="276" t="s">
        <v>348</v>
      </c>
      <c r="C136" s="270" t="s">
        <v>45</v>
      </c>
      <c r="D136" s="269" t="s">
        <v>158</v>
      </c>
      <c r="Q136" s="128" t="s">
        <v>225</v>
      </c>
      <c r="R136" s="65" t="s">
        <v>290</v>
      </c>
      <c r="S136" s="65" t="s">
        <v>292</v>
      </c>
      <c r="T136" s="102" t="s">
        <v>92</v>
      </c>
      <c r="U136" s="102" t="s">
        <v>93</v>
      </c>
      <c r="V136" s="102"/>
      <c r="W136" s="102"/>
      <c r="X136" s="102"/>
      <c r="Y136" s="102"/>
      <c r="Z136" s="102"/>
      <c r="AA136" s="102"/>
      <c r="AB136" s="102"/>
      <c r="AC136" s="112"/>
      <c r="AD136" s="103" t="s">
        <v>293</v>
      </c>
    </row>
    <row r="137" spans="2:30" ht="57.6" x14ac:dyDescent="0.3">
      <c r="B137" s="276" t="s">
        <v>348</v>
      </c>
      <c r="C137" s="270" t="s">
        <v>393</v>
      </c>
      <c r="D137" s="269" t="s">
        <v>394</v>
      </c>
      <c r="Q137" s="128" t="s">
        <v>225</v>
      </c>
      <c r="R137" s="65" t="s">
        <v>238</v>
      </c>
      <c r="S137" s="65" t="s">
        <v>237</v>
      </c>
      <c r="T137" s="102" t="s">
        <v>134</v>
      </c>
      <c r="U137" s="102" t="s">
        <v>93</v>
      </c>
      <c r="V137" s="102"/>
      <c r="W137" s="102"/>
      <c r="X137" s="102"/>
      <c r="Y137" s="102"/>
      <c r="Z137" s="102"/>
      <c r="AA137" s="102"/>
      <c r="AB137" s="102"/>
      <c r="AC137" s="112"/>
      <c r="AD137" s="103" t="s">
        <v>293</v>
      </c>
    </row>
    <row r="138" spans="2:30" ht="72" x14ac:dyDescent="0.3">
      <c r="B138" s="276" t="s">
        <v>348</v>
      </c>
      <c r="C138" s="270" t="s">
        <v>374</v>
      </c>
      <c r="D138" s="269" t="s">
        <v>395</v>
      </c>
      <c r="Q138" s="128" t="s">
        <v>225</v>
      </c>
      <c r="R138" s="65" t="s">
        <v>205</v>
      </c>
      <c r="S138" s="65" t="s">
        <v>91</v>
      </c>
      <c r="T138" s="102" t="s">
        <v>92</v>
      </c>
      <c r="U138" s="102" t="s">
        <v>93</v>
      </c>
      <c r="V138" s="102"/>
      <c r="W138" s="102"/>
      <c r="X138" s="102"/>
      <c r="Y138" s="102"/>
      <c r="Z138" s="102"/>
      <c r="AA138" s="102"/>
      <c r="AB138" s="102"/>
      <c r="AC138" s="112"/>
      <c r="AD138" s="103" t="s">
        <v>293</v>
      </c>
    </row>
    <row r="139" spans="2:30" ht="28.8" x14ac:dyDescent="0.3">
      <c r="B139" s="276" t="s">
        <v>348</v>
      </c>
      <c r="C139" s="270" t="s">
        <v>360</v>
      </c>
      <c r="D139" s="269" t="s">
        <v>391</v>
      </c>
      <c r="Q139" s="128" t="s">
        <v>225</v>
      </c>
      <c r="R139" s="65" t="s">
        <v>206</v>
      </c>
      <c r="S139" s="65" t="s">
        <v>97</v>
      </c>
      <c r="T139" s="102" t="s">
        <v>92</v>
      </c>
      <c r="U139" s="102" t="s">
        <v>93</v>
      </c>
      <c r="V139" s="102"/>
      <c r="W139" s="102"/>
      <c r="X139" s="102"/>
      <c r="Y139" s="102"/>
      <c r="Z139" s="102"/>
      <c r="AA139" s="102"/>
      <c r="AB139" s="102"/>
      <c r="AC139" s="112"/>
      <c r="AD139" s="103" t="s">
        <v>293</v>
      </c>
    </row>
    <row r="140" spans="2:30" ht="28.8" x14ac:dyDescent="0.3">
      <c r="B140" s="276" t="s">
        <v>348</v>
      </c>
      <c r="C140" s="270" t="s">
        <v>362</v>
      </c>
      <c r="D140" s="269" t="s">
        <v>392</v>
      </c>
      <c r="Q140" s="128" t="s">
        <v>225</v>
      </c>
      <c r="R140" s="65" t="s">
        <v>207</v>
      </c>
      <c r="S140" s="65" t="s">
        <v>101</v>
      </c>
      <c r="T140" s="102" t="s">
        <v>92</v>
      </c>
      <c r="U140" s="102" t="s">
        <v>93</v>
      </c>
      <c r="V140" s="102"/>
      <c r="W140" s="102"/>
      <c r="X140" s="102"/>
      <c r="Y140" s="102"/>
      <c r="Z140" s="102"/>
      <c r="AA140" s="102"/>
      <c r="AB140" s="102"/>
      <c r="AC140" s="112"/>
      <c r="AD140" s="103" t="s">
        <v>293</v>
      </c>
    </row>
    <row r="141" spans="2:30" ht="144" x14ac:dyDescent="0.3">
      <c r="B141" s="276" t="s">
        <v>348</v>
      </c>
      <c r="C141" s="270" t="s">
        <v>365</v>
      </c>
      <c r="D141" s="269" t="s">
        <v>375</v>
      </c>
      <c r="Q141" s="128" t="s">
        <v>225</v>
      </c>
      <c r="R141" s="65" t="s">
        <v>207</v>
      </c>
      <c r="S141" s="65" t="s">
        <v>104</v>
      </c>
      <c r="T141" s="102" t="s">
        <v>92</v>
      </c>
      <c r="U141" s="102" t="s">
        <v>93</v>
      </c>
      <c r="V141" s="102"/>
      <c r="W141" s="102"/>
      <c r="X141" s="102"/>
      <c r="Y141" s="102"/>
      <c r="Z141" s="102"/>
      <c r="AA141" s="102"/>
      <c r="AB141" s="102"/>
      <c r="AC141" s="112" t="s">
        <v>135</v>
      </c>
      <c r="AD141" s="103" t="s">
        <v>294</v>
      </c>
    </row>
    <row r="142" spans="2:30" ht="158.4" x14ac:dyDescent="0.3">
      <c r="B142" s="276" t="s">
        <v>348</v>
      </c>
      <c r="C142" s="270" t="s">
        <v>364</v>
      </c>
      <c r="D142" s="269" t="s">
        <v>376</v>
      </c>
      <c r="Q142" s="128" t="s">
        <v>225</v>
      </c>
      <c r="R142" s="65" t="s">
        <v>216</v>
      </c>
      <c r="S142" s="65" t="s">
        <v>231</v>
      </c>
      <c r="T142" s="102" t="s">
        <v>92</v>
      </c>
      <c r="U142" s="102" t="s">
        <v>93</v>
      </c>
      <c r="V142" s="102"/>
      <c r="W142" s="102"/>
      <c r="X142" s="102"/>
      <c r="Y142" s="102"/>
      <c r="Z142" s="102"/>
      <c r="AA142" s="102"/>
      <c r="AB142" s="102"/>
      <c r="AC142" s="112"/>
      <c r="AD142" s="103" t="s">
        <v>293</v>
      </c>
    </row>
    <row r="143" spans="2:30" ht="201.6" x14ac:dyDescent="0.3">
      <c r="B143" s="276" t="s">
        <v>348</v>
      </c>
      <c r="C143" s="270" t="s">
        <v>377</v>
      </c>
      <c r="D143" s="269" t="s">
        <v>656</v>
      </c>
      <c r="Q143" s="128" t="s">
        <v>225</v>
      </c>
      <c r="R143" s="65" t="s">
        <v>216</v>
      </c>
      <c r="S143" s="65" t="s">
        <v>232</v>
      </c>
      <c r="T143" s="102" t="s">
        <v>92</v>
      </c>
      <c r="U143" s="102" t="s">
        <v>93</v>
      </c>
      <c r="V143" s="102"/>
      <c r="W143" s="102"/>
      <c r="X143" s="102"/>
      <c r="Y143" s="102"/>
      <c r="Z143" s="102"/>
      <c r="AA143" s="102"/>
      <c r="AB143" s="102"/>
      <c r="AC143" s="112" t="s">
        <v>135</v>
      </c>
      <c r="AD143" s="103" t="s">
        <v>294</v>
      </c>
    </row>
    <row r="144" spans="2:30" ht="43.2" x14ac:dyDescent="0.3">
      <c r="B144" s="276" t="s">
        <v>348</v>
      </c>
      <c r="C144" s="270" t="s">
        <v>368</v>
      </c>
      <c r="D144" s="269" t="s">
        <v>390</v>
      </c>
      <c r="Q144" s="128" t="s">
        <v>225</v>
      </c>
      <c r="R144" s="65" t="s">
        <v>209</v>
      </c>
      <c r="S144" s="65" t="s">
        <v>209</v>
      </c>
      <c r="T144" s="102"/>
      <c r="U144" s="102" t="s">
        <v>130</v>
      </c>
      <c r="V144" s="102">
        <v>1</v>
      </c>
      <c r="W144" s="102" t="s">
        <v>111</v>
      </c>
      <c r="X144" s="102">
        <v>0</v>
      </c>
      <c r="Y144" s="102">
        <v>1</v>
      </c>
      <c r="Z144" s="102">
        <v>1</v>
      </c>
      <c r="AA144" s="102"/>
      <c r="AB144" s="102"/>
      <c r="AC144" s="112"/>
      <c r="AD144" s="103"/>
    </row>
    <row r="145" spans="2:30" ht="43.2" x14ac:dyDescent="0.3">
      <c r="B145" s="276" t="s">
        <v>348</v>
      </c>
      <c r="C145" s="270" t="s">
        <v>366</v>
      </c>
      <c r="D145" s="269" t="s">
        <v>378</v>
      </c>
      <c r="Q145" s="128" t="s">
        <v>225</v>
      </c>
      <c r="R145" s="65" t="s">
        <v>200</v>
      </c>
      <c r="S145" s="65" t="s">
        <v>200</v>
      </c>
      <c r="T145" s="102"/>
      <c r="U145" s="102" t="s">
        <v>110</v>
      </c>
      <c r="V145" s="102">
        <v>1</v>
      </c>
      <c r="W145" s="102" t="s">
        <v>111</v>
      </c>
      <c r="X145" s="102">
        <v>0</v>
      </c>
      <c r="Y145" s="102">
        <v>1</v>
      </c>
      <c r="Z145" s="102">
        <v>1</v>
      </c>
      <c r="AA145" s="102" t="s">
        <v>177</v>
      </c>
      <c r="AB145" s="102" t="s">
        <v>104</v>
      </c>
      <c r="AC145" s="112"/>
      <c r="AD145" s="103"/>
    </row>
    <row r="146" spans="2:30" ht="57.6" x14ac:dyDescent="0.3">
      <c r="B146" s="276" t="s">
        <v>348</v>
      </c>
      <c r="C146" s="270" t="s">
        <v>370</v>
      </c>
      <c r="D146" s="269" t="s">
        <v>379</v>
      </c>
      <c r="Q146" s="128" t="s">
        <v>225</v>
      </c>
      <c r="R146" s="65" t="s">
        <v>233</v>
      </c>
      <c r="S146" s="65" t="s">
        <v>102</v>
      </c>
      <c r="T146" s="102"/>
      <c r="U146" s="102" t="s">
        <v>110</v>
      </c>
      <c r="V146" s="102">
        <v>2</v>
      </c>
      <c r="W146" s="102" t="s">
        <v>185</v>
      </c>
      <c r="X146" s="102">
        <v>0</v>
      </c>
      <c r="Y146" s="102">
        <v>0</v>
      </c>
      <c r="Z146" s="102">
        <v>0</v>
      </c>
      <c r="AA146" s="102" t="s">
        <v>177</v>
      </c>
      <c r="AB146" s="102" t="s">
        <v>104</v>
      </c>
      <c r="AC146" s="112"/>
      <c r="AD146" s="103"/>
    </row>
    <row r="147" spans="2:30" ht="28.8" x14ac:dyDescent="0.3">
      <c r="B147" s="276" t="s">
        <v>396</v>
      </c>
      <c r="C147" s="265" t="s">
        <v>34</v>
      </c>
      <c r="D147" s="263" t="s">
        <v>156</v>
      </c>
      <c r="Q147" s="128" t="s">
        <v>225</v>
      </c>
      <c r="R147" s="65" t="s">
        <v>98</v>
      </c>
      <c r="S147" s="65" t="s">
        <v>98</v>
      </c>
      <c r="T147" s="102"/>
      <c r="U147" s="102" t="s">
        <v>110</v>
      </c>
      <c r="V147" s="102">
        <v>3</v>
      </c>
      <c r="W147" s="102" t="s">
        <v>185</v>
      </c>
      <c r="X147" s="102">
        <v>0</v>
      </c>
      <c r="Y147" s="102">
        <v>0</v>
      </c>
      <c r="Z147" s="102">
        <v>0</v>
      </c>
      <c r="AA147" s="102" t="s">
        <v>177</v>
      </c>
      <c r="AB147" s="102" t="s">
        <v>104</v>
      </c>
      <c r="AC147" s="112"/>
      <c r="AD147" s="103"/>
    </row>
    <row r="148" spans="2:30" ht="28.8" x14ac:dyDescent="0.3">
      <c r="B148" s="276" t="s">
        <v>396</v>
      </c>
      <c r="C148" s="265" t="s">
        <v>35</v>
      </c>
      <c r="D148" s="263" t="s">
        <v>159</v>
      </c>
      <c r="Q148" s="131" t="s">
        <v>228</v>
      </c>
      <c r="R148" s="108" t="s">
        <v>34</v>
      </c>
      <c r="S148" s="108" t="s">
        <v>34</v>
      </c>
      <c r="T148" s="109"/>
      <c r="U148" s="109" t="s">
        <v>89</v>
      </c>
      <c r="V148" s="109">
        <v>1</v>
      </c>
      <c r="W148" s="109"/>
      <c r="X148" s="109"/>
      <c r="Y148" s="109"/>
      <c r="Z148" s="109"/>
      <c r="AA148" s="109"/>
      <c r="AB148" s="109"/>
      <c r="AC148" s="123"/>
      <c r="AD148" s="110"/>
    </row>
    <row r="149" spans="2:30" ht="28.8" x14ac:dyDescent="0.3">
      <c r="B149" s="276" t="s">
        <v>396</v>
      </c>
      <c r="C149" s="265" t="s">
        <v>119</v>
      </c>
      <c r="D149" s="263" t="s">
        <v>157</v>
      </c>
      <c r="Q149" s="131" t="s">
        <v>228</v>
      </c>
      <c r="R149" s="108" t="s">
        <v>290</v>
      </c>
      <c r="S149" s="108" t="s">
        <v>292</v>
      </c>
      <c r="T149" s="109" t="s">
        <v>92</v>
      </c>
      <c r="U149" s="109" t="s">
        <v>93</v>
      </c>
      <c r="V149" s="109"/>
      <c r="W149" s="109"/>
      <c r="X149" s="109"/>
      <c r="Y149" s="109"/>
      <c r="Z149" s="109"/>
      <c r="AA149" s="109"/>
      <c r="AB149" s="109"/>
      <c r="AC149" s="123"/>
      <c r="AD149" s="110" t="s">
        <v>293</v>
      </c>
    </row>
    <row r="150" spans="2:30" ht="28.8" x14ac:dyDescent="0.3">
      <c r="B150" s="276" t="s">
        <v>396</v>
      </c>
      <c r="C150" s="270" t="s">
        <v>45</v>
      </c>
      <c r="D150" s="269" t="s">
        <v>158</v>
      </c>
      <c r="Q150" s="131" t="s">
        <v>228</v>
      </c>
      <c r="R150" s="108" t="s">
        <v>238</v>
      </c>
      <c r="S150" s="108" t="s">
        <v>237</v>
      </c>
      <c r="T150" s="109" t="s">
        <v>134</v>
      </c>
      <c r="U150" s="109" t="s">
        <v>93</v>
      </c>
      <c r="V150" s="109"/>
      <c r="W150" s="109"/>
      <c r="X150" s="109"/>
      <c r="Y150" s="109"/>
      <c r="Z150" s="109"/>
      <c r="AA150" s="109"/>
      <c r="AB150" s="109"/>
      <c r="AC150" s="123"/>
      <c r="AD150" s="110" t="s">
        <v>293</v>
      </c>
    </row>
    <row r="151" spans="2:30" ht="28.8" x14ac:dyDescent="0.3">
      <c r="B151" s="276" t="s">
        <v>414</v>
      </c>
      <c r="C151" s="265" t="s">
        <v>34</v>
      </c>
      <c r="D151" s="263" t="s">
        <v>156</v>
      </c>
      <c r="Q151" s="131" t="s">
        <v>228</v>
      </c>
      <c r="R151" s="108" t="s">
        <v>205</v>
      </c>
      <c r="S151" s="108" t="s">
        <v>91</v>
      </c>
      <c r="T151" s="109" t="s">
        <v>92</v>
      </c>
      <c r="U151" s="109" t="s">
        <v>93</v>
      </c>
      <c r="V151" s="109"/>
      <c r="W151" s="109"/>
      <c r="X151" s="109"/>
      <c r="Y151" s="109"/>
      <c r="Z151" s="109"/>
      <c r="AA151" s="109"/>
      <c r="AB151" s="109"/>
      <c r="AC151" s="123"/>
      <c r="AD151" s="110" t="s">
        <v>293</v>
      </c>
    </row>
    <row r="152" spans="2:30" ht="28.8" x14ac:dyDescent="0.3">
      <c r="B152" s="276" t="s">
        <v>414</v>
      </c>
      <c r="C152" s="265" t="s">
        <v>35</v>
      </c>
      <c r="D152" s="263" t="s">
        <v>159</v>
      </c>
      <c r="Q152" s="131" t="s">
        <v>228</v>
      </c>
      <c r="R152" s="108" t="s">
        <v>206</v>
      </c>
      <c r="S152" s="108" t="s">
        <v>97</v>
      </c>
      <c r="T152" s="109" t="s">
        <v>92</v>
      </c>
      <c r="U152" s="109" t="s">
        <v>93</v>
      </c>
      <c r="V152" s="109"/>
      <c r="W152" s="109"/>
      <c r="X152" s="109"/>
      <c r="Y152" s="109"/>
      <c r="Z152" s="109"/>
      <c r="AA152" s="109"/>
      <c r="AB152" s="109"/>
      <c r="AC152" s="123"/>
      <c r="AD152" s="110" t="s">
        <v>293</v>
      </c>
    </row>
    <row r="153" spans="2:30" ht="28.8" x14ac:dyDescent="0.3">
      <c r="B153" s="276" t="s">
        <v>414</v>
      </c>
      <c r="C153" s="265" t="s">
        <v>119</v>
      </c>
      <c r="D153" s="263" t="s">
        <v>157</v>
      </c>
      <c r="Q153" s="131" t="s">
        <v>228</v>
      </c>
      <c r="R153" s="108" t="s">
        <v>207</v>
      </c>
      <c r="S153" s="108" t="s">
        <v>101</v>
      </c>
      <c r="T153" s="109" t="s">
        <v>92</v>
      </c>
      <c r="U153" s="109" t="s">
        <v>93</v>
      </c>
      <c r="V153" s="109"/>
      <c r="W153" s="109"/>
      <c r="X153" s="109"/>
      <c r="Y153" s="109"/>
      <c r="Z153" s="109"/>
      <c r="AA153" s="109"/>
      <c r="AB153" s="109"/>
      <c r="AC153" s="123"/>
      <c r="AD153" s="110" t="s">
        <v>293</v>
      </c>
    </row>
    <row r="154" spans="2:30" ht="28.8" x14ac:dyDescent="0.3">
      <c r="B154" s="276" t="s">
        <v>414</v>
      </c>
      <c r="C154" s="270" t="s">
        <v>45</v>
      </c>
      <c r="D154" s="269" t="s">
        <v>158</v>
      </c>
      <c r="Q154" s="131" t="s">
        <v>228</v>
      </c>
      <c r="R154" s="108" t="s">
        <v>207</v>
      </c>
      <c r="S154" s="108" t="s">
        <v>104</v>
      </c>
      <c r="T154" s="109" t="s">
        <v>92</v>
      </c>
      <c r="U154" s="109" t="s">
        <v>93</v>
      </c>
      <c r="V154" s="109"/>
      <c r="W154" s="109"/>
      <c r="X154" s="109"/>
      <c r="Y154" s="109"/>
      <c r="Z154" s="109"/>
      <c r="AA154" s="109"/>
      <c r="AB154" s="109"/>
      <c r="AC154" s="123" t="s">
        <v>135</v>
      </c>
      <c r="AD154" s="110" t="s">
        <v>294</v>
      </c>
    </row>
    <row r="155" spans="2:30" ht="28.8" x14ac:dyDescent="0.3">
      <c r="B155" s="276" t="s">
        <v>284</v>
      </c>
      <c r="C155" s="265" t="s">
        <v>34</v>
      </c>
      <c r="D155" s="263" t="s">
        <v>156</v>
      </c>
      <c r="Q155" s="131" t="s">
        <v>228</v>
      </c>
      <c r="R155" s="108" t="s">
        <v>216</v>
      </c>
      <c r="S155" s="108" t="s">
        <v>231</v>
      </c>
      <c r="T155" s="109" t="s">
        <v>92</v>
      </c>
      <c r="U155" s="109" t="s">
        <v>93</v>
      </c>
      <c r="V155" s="109"/>
      <c r="W155" s="109"/>
      <c r="X155" s="109"/>
      <c r="Y155" s="109"/>
      <c r="Z155" s="109"/>
      <c r="AA155" s="109"/>
      <c r="AB155" s="109"/>
      <c r="AC155" s="123"/>
      <c r="AD155" s="110" t="s">
        <v>293</v>
      </c>
    </row>
    <row r="156" spans="2:30" ht="28.8" x14ac:dyDescent="0.3">
      <c r="B156" s="276" t="s">
        <v>284</v>
      </c>
      <c r="C156" s="265" t="s">
        <v>35</v>
      </c>
      <c r="D156" s="263" t="s">
        <v>159</v>
      </c>
      <c r="Q156" s="131" t="s">
        <v>228</v>
      </c>
      <c r="R156" s="108" t="s">
        <v>216</v>
      </c>
      <c r="S156" s="108" t="s">
        <v>232</v>
      </c>
      <c r="T156" s="109" t="s">
        <v>92</v>
      </c>
      <c r="U156" s="109" t="s">
        <v>93</v>
      </c>
      <c r="V156" s="109"/>
      <c r="W156" s="109"/>
      <c r="X156" s="109"/>
      <c r="Y156" s="109"/>
      <c r="Z156" s="109"/>
      <c r="AA156" s="109"/>
      <c r="AB156" s="109"/>
      <c r="AC156" s="123" t="s">
        <v>135</v>
      </c>
      <c r="AD156" s="110" t="s">
        <v>294</v>
      </c>
    </row>
    <row r="157" spans="2:30" ht="28.8" x14ac:dyDescent="0.3">
      <c r="B157" s="276" t="s">
        <v>284</v>
      </c>
      <c r="C157" s="265" t="s">
        <v>119</v>
      </c>
      <c r="D157" s="263" t="s">
        <v>157</v>
      </c>
      <c r="Q157" s="131" t="s">
        <v>228</v>
      </c>
      <c r="R157" s="108" t="s">
        <v>209</v>
      </c>
      <c r="S157" s="108" t="s">
        <v>209</v>
      </c>
      <c r="T157" s="109"/>
      <c r="U157" s="109" t="s">
        <v>130</v>
      </c>
      <c r="V157" s="109">
        <v>1</v>
      </c>
      <c r="W157" s="109" t="s">
        <v>111</v>
      </c>
      <c r="X157" s="109">
        <v>0</v>
      </c>
      <c r="Y157" s="109">
        <v>1</v>
      </c>
      <c r="Z157" s="109">
        <v>1</v>
      </c>
      <c r="AA157" s="109"/>
      <c r="AB157" s="109"/>
      <c r="AC157" s="123"/>
      <c r="AD157" s="110"/>
    </row>
    <row r="158" spans="2:30" ht="28.8" x14ac:dyDescent="0.3">
      <c r="B158" s="276" t="s">
        <v>284</v>
      </c>
      <c r="C158" s="270" t="s">
        <v>45</v>
      </c>
      <c r="D158" s="269" t="s">
        <v>158</v>
      </c>
      <c r="Q158" s="131" t="s">
        <v>228</v>
      </c>
      <c r="R158" s="108" t="s">
        <v>200</v>
      </c>
      <c r="S158" s="108" t="s">
        <v>200</v>
      </c>
      <c r="T158" s="109"/>
      <c r="U158" s="109" t="s">
        <v>110</v>
      </c>
      <c r="V158" s="109">
        <v>1</v>
      </c>
      <c r="W158" s="109" t="s">
        <v>111</v>
      </c>
      <c r="X158" s="109">
        <v>0</v>
      </c>
      <c r="Y158" s="109">
        <v>1</v>
      </c>
      <c r="Z158" s="109">
        <v>1</v>
      </c>
      <c r="AA158" s="109" t="s">
        <v>177</v>
      </c>
      <c r="AB158" s="109" t="s">
        <v>104</v>
      </c>
      <c r="AC158" s="123"/>
      <c r="AD158" s="110"/>
    </row>
    <row r="159" spans="2:30" ht="28.8" x14ac:dyDescent="0.3">
      <c r="B159" s="276" t="s">
        <v>284</v>
      </c>
      <c r="C159" s="265" t="s">
        <v>215</v>
      </c>
      <c r="D159" s="263" t="s">
        <v>467</v>
      </c>
      <c r="Q159" s="131" t="s">
        <v>228</v>
      </c>
      <c r="R159" s="108" t="s">
        <v>202</v>
      </c>
      <c r="S159" s="108" t="s">
        <v>215</v>
      </c>
      <c r="T159" s="109"/>
      <c r="U159" s="109" t="s">
        <v>110</v>
      </c>
      <c r="V159" s="109">
        <v>2</v>
      </c>
      <c r="W159" s="109" t="s">
        <v>111</v>
      </c>
      <c r="X159" s="109">
        <v>0</v>
      </c>
      <c r="Y159" s="109">
        <v>1</v>
      </c>
      <c r="Z159" s="109">
        <v>1</v>
      </c>
      <c r="AA159" s="109" t="s">
        <v>177</v>
      </c>
      <c r="AB159" s="109" t="s">
        <v>104</v>
      </c>
      <c r="AC159" s="123"/>
      <c r="AD159" s="110"/>
    </row>
    <row r="160" spans="2:30" ht="28.8" x14ac:dyDescent="0.3">
      <c r="B160" s="276" t="s">
        <v>284</v>
      </c>
      <c r="C160" s="265" t="s">
        <v>468</v>
      </c>
      <c r="D160" s="263" t="s">
        <v>467</v>
      </c>
      <c r="Q160" s="131" t="s">
        <v>228</v>
      </c>
      <c r="R160" s="108" t="s">
        <v>233</v>
      </c>
      <c r="S160" s="108" t="s">
        <v>102</v>
      </c>
      <c r="T160" s="109"/>
      <c r="U160" s="109" t="s">
        <v>110</v>
      </c>
      <c r="V160" s="109">
        <v>3</v>
      </c>
      <c r="W160" s="109" t="s">
        <v>185</v>
      </c>
      <c r="X160" s="109">
        <v>0</v>
      </c>
      <c r="Y160" s="109">
        <v>0</v>
      </c>
      <c r="Z160" s="109">
        <v>0</v>
      </c>
      <c r="AA160" s="109" t="s">
        <v>177</v>
      </c>
      <c r="AB160" s="109" t="s">
        <v>104</v>
      </c>
      <c r="AC160" s="123"/>
      <c r="AD160" s="110"/>
    </row>
    <row r="161" spans="2:30" ht="86.4" x14ac:dyDescent="0.3">
      <c r="B161" s="276" t="s">
        <v>284</v>
      </c>
      <c r="C161" s="270" t="s">
        <v>469</v>
      </c>
      <c r="D161" s="269" t="s">
        <v>470</v>
      </c>
      <c r="Q161" s="131" t="s">
        <v>228</v>
      </c>
      <c r="R161" s="108" t="s">
        <v>98</v>
      </c>
      <c r="S161" s="108" t="s">
        <v>98</v>
      </c>
      <c r="T161" s="109"/>
      <c r="U161" s="109" t="s">
        <v>110</v>
      </c>
      <c r="V161" s="109">
        <v>4</v>
      </c>
      <c r="W161" s="109" t="s">
        <v>185</v>
      </c>
      <c r="X161" s="109">
        <v>0</v>
      </c>
      <c r="Y161" s="109">
        <v>0</v>
      </c>
      <c r="Z161" s="109">
        <v>0</v>
      </c>
      <c r="AA161" s="109" t="s">
        <v>177</v>
      </c>
      <c r="AB161" s="109" t="s">
        <v>104</v>
      </c>
      <c r="AC161" s="123"/>
      <c r="AD161" s="110"/>
    </row>
    <row r="162" spans="2:30" ht="86.4" x14ac:dyDescent="0.3">
      <c r="B162" s="276" t="s">
        <v>284</v>
      </c>
      <c r="C162" s="270" t="s">
        <v>471</v>
      </c>
      <c r="D162" s="269" t="s">
        <v>472</v>
      </c>
      <c r="Q162" s="128" t="s">
        <v>234</v>
      </c>
      <c r="R162" s="65" t="s">
        <v>34</v>
      </c>
      <c r="S162" s="65" t="s">
        <v>34</v>
      </c>
      <c r="T162" s="102"/>
      <c r="U162" s="102" t="s">
        <v>89</v>
      </c>
      <c r="V162" s="102">
        <v>1</v>
      </c>
      <c r="W162" s="102"/>
      <c r="X162" s="102"/>
      <c r="Y162" s="102"/>
      <c r="Z162" s="102"/>
      <c r="AA162" s="102"/>
      <c r="AB162" s="102"/>
      <c r="AC162" s="112"/>
      <c r="AD162" s="103"/>
    </row>
    <row r="163" spans="2:30" ht="43.2" x14ac:dyDescent="0.3">
      <c r="B163" s="276" t="s">
        <v>284</v>
      </c>
      <c r="C163" s="270" t="s">
        <v>473</v>
      </c>
      <c r="D163" s="269" t="s">
        <v>474</v>
      </c>
      <c r="Q163" s="128" t="s">
        <v>234</v>
      </c>
      <c r="R163" s="65" t="s">
        <v>290</v>
      </c>
      <c r="S163" s="65" t="s">
        <v>292</v>
      </c>
      <c r="T163" s="102" t="s">
        <v>92</v>
      </c>
      <c r="U163" s="102" t="s">
        <v>93</v>
      </c>
      <c r="V163" s="102"/>
      <c r="W163" s="102"/>
      <c r="X163" s="102"/>
      <c r="Y163" s="102"/>
      <c r="Z163" s="102"/>
      <c r="AA163" s="102"/>
      <c r="AB163" s="102"/>
      <c r="AC163" s="112"/>
      <c r="AD163" s="103" t="s">
        <v>293</v>
      </c>
    </row>
    <row r="164" spans="2:30" ht="43.2" x14ac:dyDescent="0.3">
      <c r="B164" s="276" t="s">
        <v>284</v>
      </c>
      <c r="C164" s="270" t="s">
        <v>475</v>
      </c>
      <c r="D164" s="269" t="s">
        <v>476</v>
      </c>
      <c r="Q164" s="128" t="s">
        <v>234</v>
      </c>
      <c r="R164" s="65" t="s">
        <v>238</v>
      </c>
      <c r="S164" s="65" t="s">
        <v>237</v>
      </c>
      <c r="T164" s="102" t="s">
        <v>134</v>
      </c>
      <c r="U164" s="102" t="s">
        <v>93</v>
      </c>
      <c r="V164" s="102"/>
      <c r="W164" s="102"/>
      <c r="X164" s="102"/>
      <c r="Y164" s="102"/>
      <c r="Z164" s="102"/>
      <c r="AA164" s="102"/>
      <c r="AB164" s="102"/>
      <c r="AC164" s="112"/>
      <c r="AD164" s="103" t="s">
        <v>293</v>
      </c>
    </row>
    <row r="165" spans="2:30" ht="28.8" x14ac:dyDescent="0.3">
      <c r="B165" s="276" t="s">
        <v>284</v>
      </c>
      <c r="C165" s="270" t="s">
        <v>477</v>
      </c>
      <c r="D165" s="269" t="s">
        <v>478</v>
      </c>
      <c r="Q165" s="128" t="s">
        <v>234</v>
      </c>
      <c r="R165" s="65" t="s">
        <v>205</v>
      </c>
      <c r="S165" s="65" t="s">
        <v>91</v>
      </c>
      <c r="T165" s="102" t="s">
        <v>92</v>
      </c>
      <c r="U165" s="102" t="s">
        <v>93</v>
      </c>
      <c r="V165" s="102"/>
      <c r="W165" s="102"/>
      <c r="X165" s="102"/>
      <c r="Y165" s="102"/>
      <c r="Z165" s="102"/>
      <c r="AA165" s="102"/>
      <c r="AB165" s="102"/>
      <c r="AC165" s="112"/>
      <c r="AD165" s="103" t="s">
        <v>293</v>
      </c>
    </row>
    <row r="166" spans="2:30" ht="57.6" x14ac:dyDescent="0.3">
      <c r="B166" s="276" t="s">
        <v>284</v>
      </c>
      <c r="C166" s="270" t="s">
        <v>479</v>
      </c>
      <c r="D166" s="269" t="s">
        <v>480</v>
      </c>
      <c r="Q166" s="128" t="s">
        <v>234</v>
      </c>
      <c r="R166" s="65" t="s">
        <v>206</v>
      </c>
      <c r="S166" s="65" t="s">
        <v>97</v>
      </c>
      <c r="T166" s="102" t="s">
        <v>92</v>
      </c>
      <c r="U166" s="102" t="s">
        <v>93</v>
      </c>
      <c r="V166" s="102"/>
      <c r="W166" s="102"/>
      <c r="X166" s="102"/>
      <c r="Y166" s="102"/>
      <c r="Z166" s="102"/>
      <c r="AA166" s="102"/>
      <c r="AB166" s="102"/>
      <c r="AC166" s="112"/>
      <c r="AD166" s="103" t="s">
        <v>293</v>
      </c>
    </row>
    <row r="167" spans="2:30" ht="360" x14ac:dyDescent="0.3">
      <c r="B167" s="276" t="s">
        <v>284</v>
      </c>
      <c r="C167" s="270" t="s">
        <v>481</v>
      </c>
      <c r="D167" s="269" t="s">
        <v>558</v>
      </c>
      <c r="Q167" s="128" t="s">
        <v>234</v>
      </c>
      <c r="R167" s="65" t="s">
        <v>207</v>
      </c>
      <c r="S167" s="65" t="s">
        <v>101</v>
      </c>
      <c r="T167" s="102" t="s">
        <v>92</v>
      </c>
      <c r="U167" s="102" t="s">
        <v>93</v>
      </c>
      <c r="V167" s="102"/>
      <c r="W167" s="102"/>
      <c r="X167" s="102"/>
      <c r="Y167" s="102"/>
      <c r="Z167" s="102"/>
      <c r="AA167" s="102"/>
      <c r="AB167" s="102"/>
      <c r="AC167" s="112"/>
      <c r="AD167" s="103" t="s">
        <v>293</v>
      </c>
    </row>
    <row r="168" spans="2:30" ht="28.8" x14ac:dyDescent="0.3">
      <c r="B168" s="276" t="s">
        <v>286</v>
      </c>
      <c r="C168" s="265" t="s">
        <v>34</v>
      </c>
      <c r="D168" s="263" t="s">
        <v>156</v>
      </c>
      <c r="Q168" s="128" t="s">
        <v>234</v>
      </c>
      <c r="R168" s="65" t="s">
        <v>207</v>
      </c>
      <c r="S168" s="65" t="s">
        <v>104</v>
      </c>
      <c r="T168" s="102" t="s">
        <v>92</v>
      </c>
      <c r="U168" s="102" t="s">
        <v>93</v>
      </c>
      <c r="V168" s="102"/>
      <c r="W168" s="102"/>
      <c r="X168" s="102"/>
      <c r="Y168" s="102"/>
      <c r="Z168" s="102"/>
      <c r="AA168" s="102"/>
      <c r="AB168" s="102"/>
      <c r="AC168" s="112" t="s">
        <v>105</v>
      </c>
      <c r="AD168" s="103" t="s">
        <v>294</v>
      </c>
    </row>
    <row r="169" spans="2:30" ht="28.8" x14ac:dyDescent="0.3">
      <c r="B169" s="276" t="s">
        <v>286</v>
      </c>
      <c r="C169" s="265" t="s">
        <v>35</v>
      </c>
      <c r="D169" s="263" t="s">
        <v>159</v>
      </c>
      <c r="Q169" s="128" t="s">
        <v>234</v>
      </c>
      <c r="R169" s="65" t="s">
        <v>216</v>
      </c>
      <c r="S169" s="65" t="s">
        <v>231</v>
      </c>
      <c r="T169" s="102" t="s">
        <v>92</v>
      </c>
      <c r="U169" s="102" t="s">
        <v>93</v>
      </c>
      <c r="V169" s="102"/>
      <c r="W169" s="102"/>
      <c r="X169" s="102"/>
      <c r="Y169" s="102"/>
      <c r="Z169" s="102"/>
      <c r="AA169" s="102"/>
      <c r="AB169" s="102"/>
      <c r="AC169" s="112"/>
      <c r="AD169" s="103" t="s">
        <v>293</v>
      </c>
    </row>
    <row r="170" spans="2:30" ht="28.8" x14ac:dyDescent="0.3">
      <c r="B170" s="276" t="s">
        <v>286</v>
      </c>
      <c r="C170" s="265" t="s">
        <v>119</v>
      </c>
      <c r="D170" s="263" t="s">
        <v>157</v>
      </c>
      <c r="Q170" s="128" t="s">
        <v>234</v>
      </c>
      <c r="R170" s="65" t="s">
        <v>216</v>
      </c>
      <c r="S170" s="65" t="s">
        <v>232</v>
      </c>
      <c r="T170" s="102" t="s">
        <v>92</v>
      </c>
      <c r="U170" s="102" t="s">
        <v>93</v>
      </c>
      <c r="V170" s="102"/>
      <c r="W170" s="102"/>
      <c r="X170" s="102"/>
      <c r="Y170" s="102"/>
      <c r="Z170" s="102"/>
      <c r="AA170" s="102"/>
      <c r="AB170" s="102"/>
      <c r="AC170" s="112" t="s">
        <v>105</v>
      </c>
      <c r="AD170" s="103" t="s">
        <v>294</v>
      </c>
    </row>
    <row r="171" spans="2:30" ht="28.8" x14ac:dyDescent="0.3">
      <c r="B171" s="276" t="s">
        <v>286</v>
      </c>
      <c r="C171" s="270" t="s">
        <v>45</v>
      </c>
      <c r="D171" s="269" t="s">
        <v>158</v>
      </c>
      <c r="Q171" s="128" t="s">
        <v>234</v>
      </c>
      <c r="R171" s="65" t="s">
        <v>209</v>
      </c>
      <c r="S171" s="65" t="s">
        <v>209</v>
      </c>
      <c r="T171" s="102"/>
      <c r="U171" s="102" t="s">
        <v>130</v>
      </c>
      <c r="V171" s="102">
        <v>1</v>
      </c>
      <c r="W171" s="102" t="s">
        <v>111</v>
      </c>
      <c r="X171" s="102">
        <v>0</v>
      </c>
      <c r="Y171" s="102">
        <v>1</v>
      </c>
      <c r="Z171" s="102">
        <v>1</v>
      </c>
      <c r="AA171" s="102"/>
      <c r="AB171" s="102"/>
      <c r="AC171" s="112"/>
      <c r="AD171" s="103"/>
    </row>
    <row r="172" spans="2:30" ht="28.8" x14ac:dyDescent="0.3">
      <c r="B172" s="276" t="s">
        <v>286</v>
      </c>
      <c r="C172" s="265" t="s">
        <v>215</v>
      </c>
      <c r="D172" s="263" t="s">
        <v>467</v>
      </c>
      <c r="Q172" s="128" t="s">
        <v>234</v>
      </c>
      <c r="R172" s="65" t="s">
        <v>200</v>
      </c>
      <c r="S172" s="65" t="s">
        <v>200</v>
      </c>
      <c r="T172" s="102"/>
      <c r="U172" s="102" t="s">
        <v>110</v>
      </c>
      <c r="V172" s="102">
        <v>1</v>
      </c>
      <c r="W172" s="102" t="s">
        <v>111</v>
      </c>
      <c r="X172" s="102">
        <v>0</v>
      </c>
      <c r="Y172" s="102">
        <v>1</v>
      </c>
      <c r="Z172" s="102">
        <v>1</v>
      </c>
      <c r="AA172" s="102" t="s">
        <v>177</v>
      </c>
      <c r="AB172" s="102" t="s">
        <v>104</v>
      </c>
      <c r="AC172" s="112"/>
      <c r="AD172" s="103"/>
    </row>
    <row r="173" spans="2:30" ht="28.8" x14ac:dyDescent="0.3">
      <c r="B173" s="276" t="s">
        <v>286</v>
      </c>
      <c r="C173" s="265" t="s">
        <v>468</v>
      </c>
      <c r="D173" s="263" t="s">
        <v>467</v>
      </c>
      <c r="Q173" s="128" t="s">
        <v>234</v>
      </c>
      <c r="R173" s="65" t="s">
        <v>233</v>
      </c>
      <c r="S173" s="65" t="s">
        <v>102</v>
      </c>
      <c r="T173" s="102"/>
      <c r="U173" s="102" t="s">
        <v>110</v>
      </c>
      <c r="V173" s="102">
        <v>2</v>
      </c>
      <c r="W173" s="102" t="s">
        <v>111</v>
      </c>
      <c r="X173" s="102">
        <v>0</v>
      </c>
      <c r="Y173" s="102">
        <v>1</v>
      </c>
      <c r="Z173" s="102">
        <v>1</v>
      </c>
      <c r="AA173" s="102" t="s">
        <v>177</v>
      </c>
      <c r="AB173" s="102" t="s">
        <v>104</v>
      </c>
      <c r="AC173" s="112"/>
      <c r="AD173" s="103"/>
    </row>
    <row r="174" spans="2:30" ht="100.8" x14ac:dyDescent="0.3">
      <c r="B174" s="276" t="s">
        <v>286</v>
      </c>
      <c r="C174" s="270" t="s">
        <v>469</v>
      </c>
      <c r="D174" s="269" t="s">
        <v>482</v>
      </c>
      <c r="Q174" s="128" t="s">
        <v>234</v>
      </c>
      <c r="R174" s="65" t="s">
        <v>210</v>
      </c>
      <c r="S174" s="65" t="s">
        <v>186</v>
      </c>
      <c r="T174" s="102"/>
      <c r="U174" s="102" t="s">
        <v>110</v>
      </c>
      <c r="V174" s="102">
        <v>3</v>
      </c>
      <c r="W174" s="102" t="s">
        <v>185</v>
      </c>
      <c r="X174" s="102">
        <v>0</v>
      </c>
      <c r="Y174" s="102">
        <v>0</v>
      </c>
      <c r="Z174" s="102">
        <v>0</v>
      </c>
      <c r="AA174" s="102" t="s">
        <v>112</v>
      </c>
      <c r="AB174" s="102" t="s">
        <v>186</v>
      </c>
      <c r="AC174" s="112"/>
      <c r="AD174" s="103" t="s">
        <v>187</v>
      </c>
    </row>
    <row r="175" spans="2:30" ht="86.4" x14ac:dyDescent="0.3">
      <c r="B175" s="276" t="s">
        <v>286</v>
      </c>
      <c r="C175" s="270" t="s">
        <v>471</v>
      </c>
      <c r="D175" s="269" t="s">
        <v>483</v>
      </c>
      <c r="Q175" s="116" t="s">
        <v>234</v>
      </c>
      <c r="R175" s="67" t="s">
        <v>204</v>
      </c>
      <c r="S175" s="67" t="s">
        <v>204</v>
      </c>
      <c r="T175" s="105"/>
      <c r="U175" s="105" t="s">
        <v>110</v>
      </c>
      <c r="V175" s="105">
        <v>4</v>
      </c>
      <c r="W175" s="105" t="s">
        <v>185</v>
      </c>
      <c r="X175" s="105">
        <v>0</v>
      </c>
      <c r="Y175" s="105">
        <v>0</v>
      </c>
      <c r="Z175" s="105">
        <v>0</v>
      </c>
      <c r="AA175" s="105" t="s">
        <v>177</v>
      </c>
      <c r="AB175" s="129" t="s">
        <v>204</v>
      </c>
      <c r="AC175" s="130"/>
      <c r="AD175" s="106" t="s">
        <v>293</v>
      </c>
    </row>
    <row r="176" spans="2:30" ht="43.2" x14ac:dyDescent="0.3">
      <c r="B176" s="276" t="s">
        <v>286</v>
      </c>
      <c r="C176" s="270" t="s">
        <v>473</v>
      </c>
      <c r="D176" s="269" t="s">
        <v>474</v>
      </c>
      <c r="Q176" s="153" t="s">
        <v>240</v>
      </c>
      <c r="R176" s="154" t="s">
        <v>34</v>
      </c>
      <c r="S176" s="154" t="s">
        <v>34</v>
      </c>
      <c r="T176" s="155"/>
      <c r="U176" s="155" t="s">
        <v>89</v>
      </c>
      <c r="V176" s="155">
        <v>1</v>
      </c>
      <c r="W176" s="155"/>
      <c r="X176" s="155"/>
      <c r="Y176" s="155"/>
      <c r="Z176" s="155"/>
      <c r="AA176" s="155"/>
      <c r="AB176" s="155"/>
      <c r="AC176" s="156"/>
      <c r="AD176" s="157"/>
    </row>
    <row r="177" spans="2:30" ht="43.2" x14ac:dyDescent="0.3">
      <c r="B177" s="276" t="s">
        <v>286</v>
      </c>
      <c r="C177" s="270" t="s">
        <v>475</v>
      </c>
      <c r="D177" s="269" t="s">
        <v>484</v>
      </c>
      <c r="Q177" s="153" t="s">
        <v>240</v>
      </c>
      <c r="R177" s="154" t="s">
        <v>94</v>
      </c>
      <c r="S177" s="154" t="s">
        <v>133</v>
      </c>
      <c r="T177" s="155" t="s">
        <v>134</v>
      </c>
      <c r="U177" s="155" t="s">
        <v>93</v>
      </c>
      <c r="V177" s="155"/>
      <c r="W177" s="155"/>
      <c r="X177" s="155"/>
      <c r="Y177" s="155"/>
      <c r="Z177" s="155"/>
      <c r="AA177" s="155"/>
      <c r="AB177" s="155"/>
      <c r="AC177" s="156"/>
      <c r="AD177" s="157" t="s">
        <v>293</v>
      </c>
    </row>
    <row r="178" spans="2:30" ht="28.8" x14ac:dyDescent="0.3">
      <c r="B178" s="276" t="s">
        <v>286</v>
      </c>
      <c r="C178" s="270" t="s">
        <v>477</v>
      </c>
      <c r="D178" s="269" t="s">
        <v>478</v>
      </c>
      <c r="Q178" s="153" t="s">
        <v>240</v>
      </c>
      <c r="R178" s="154" t="s">
        <v>241</v>
      </c>
      <c r="S178" s="154" t="s">
        <v>312</v>
      </c>
      <c r="T178" s="155" t="s">
        <v>92</v>
      </c>
      <c r="U178" s="155" t="s">
        <v>93</v>
      </c>
      <c r="V178" s="155"/>
      <c r="W178" s="155"/>
      <c r="X178" s="155"/>
      <c r="Y178" s="155"/>
      <c r="Z178" s="155"/>
      <c r="AA178" s="155"/>
      <c r="AB178" s="155"/>
      <c r="AC178" s="156"/>
      <c r="AD178" s="157" t="s">
        <v>293</v>
      </c>
    </row>
    <row r="179" spans="2:30" ht="57.6" x14ac:dyDescent="0.3">
      <c r="B179" s="276" t="s">
        <v>286</v>
      </c>
      <c r="C179" s="270" t="s">
        <v>479</v>
      </c>
      <c r="D179" s="269" t="s">
        <v>485</v>
      </c>
      <c r="Q179" s="153" t="s">
        <v>240</v>
      </c>
      <c r="R179" s="154" t="s">
        <v>243</v>
      </c>
      <c r="S179" s="154" t="s">
        <v>255</v>
      </c>
      <c r="T179" s="155" t="s">
        <v>92</v>
      </c>
      <c r="U179" s="155" t="s">
        <v>93</v>
      </c>
      <c r="V179" s="155"/>
      <c r="W179" s="155"/>
      <c r="X179" s="155"/>
      <c r="Y179" s="155"/>
      <c r="Z179" s="155"/>
      <c r="AA179" s="155"/>
      <c r="AB179" s="155"/>
      <c r="AC179" s="156"/>
      <c r="AD179" s="157" t="s">
        <v>293</v>
      </c>
    </row>
    <row r="180" spans="2:30" ht="360" x14ac:dyDescent="0.3">
      <c r="B180" s="276" t="s">
        <v>286</v>
      </c>
      <c r="C180" s="270" t="s">
        <v>481</v>
      </c>
      <c r="D180" s="269" t="s">
        <v>558</v>
      </c>
      <c r="Q180" s="153" t="s">
        <v>240</v>
      </c>
      <c r="R180" s="154" t="s">
        <v>245</v>
      </c>
      <c r="S180" s="154" t="s">
        <v>256</v>
      </c>
      <c r="T180" s="155" t="s">
        <v>92</v>
      </c>
      <c r="U180" s="155" t="s">
        <v>93</v>
      </c>
      <c r="V180" s="155"/>
      <c r="W180" s="155"/>
      <c r="X180" s="155"/>
      <c r="Y180" s="155"/>
      <c r="Z180" s="155"/>
      <c r="AA180" s="155"/>
      <c r="AB180" s="155"/>
      <c r="AC180" s="156"/>
      <c r="AD180" s="157" t="s">
        <v>293</v>
      </c>
    </row>
    <row r="181" spans="2:30" ht="28.8" x14ac:dyDescent="0.3">
      <c r="B181" s="276" t="s">
        <v>287</v>
      </c>
      <c r="C181" s="265" t="s">
        <v>34</v>
      </c>
      <c r="D181" s="263" t="s">
        <v>156</v>
      </c>
      <c r="Q181" s="153" t="s">
        <v>240</v>
      </c>
      <c r="R181" s="154" t="s">
        <v>241</v>
      </c>
      <c r="S181" s="154" t="s">
        <v>104</v>
      </c>
      <c r="T181" s="155" t="s">
        <v>92</v>
      </c>
      <c r="U181" s="155" t="s">
        <v>93</v>
      </c>
      <c r="V181" s="155"/>
      <c r="W181" s="155"/>
      <c r="X181" s="155"/>
      <c r="Y181" s="155"/>
      <c r="Z181" s="155"/>
      <c r="AA181" s="155"/>
      <c r="AB181" s="155"/>
      <c r="AC181" s="156" t="s">
        <v>105</v>
      </c>
      <c r="AD181" s="157" t="s">
        <v>294</v>
      </c>
    </row>
    <row r="182" spans="2:30" ht="28.8" x14ac:dyDescent="0.3">
      <c r="B182" s="276" t="s">
        <v>287</v>
      </c>
      <c r="C182" s="265" t="s">
        <v>35</v>
      </c>
      <c r="D182" s="263" t="s">
        <v>159</v>
      </c>
      <c r="Q182" s="153" t="s">
        <v>240</v>
      </c>
      <c r="R182" s="158" t="s">
        <v>35</v>
      </c>
      <c r="S182" s="158" t="s">
        <v>35</v>
      </c>
      <c r="T182" s="155"/>
      <c r="U182" s="155" t="s">
        <v>110</v>
      </c>
      <c r="V182" s="155">
        <v>1</v>
      </c>
      <c r="W182" s="155" t="s">
        <v>111</v>
      </c>
      <c r="X182" s="155">
        <v>0</v>
      </c>
      <c r="Y182" s="155">
        <v>1</v>
      </c>
      <c r="Z182" s="155">
        <v>1</v>
      </c>
      <c r="AA182" s="155" t="s">
        <v>112</v>
      </c>
      <c r="AB182" s="155" t="s">
        <v>35</v>
      </c>
      <c r="AC182" s="156"/>
      <c r="AD182" s="157"/>
    </row>
    <row r="183" spans="2:30" ht="28.8" x14ac:dyDescent="0.3">
      <c r="B183" s="276" t="s">
        <v>287</v>
      </c>
      <c r="C183" s="265" t="s">
        <v>119</v>
      </c>
      <c r="D183" s="263" t="s">
        <v>157</v>
      </c>
      <c r="Q183" s="153" t="s">
        <v>240</v>
      </c>
      <c r="R183" s="154" t="s">
        <v>251</v>
      </c>
      <c r="S183" s="154" t="s">
        <v>251</v>
      </c>
      <c r="T183" s="159"/>
      <c r="U183" s="159" t="s">
        <v>130</v>
      </c>
      <c r="V183" s="155">
        <v>1</v>
      </c>
      <c r="W183" s="155" t="s">
        <v>111</v>
      </c>
      <c r="X183" s="155">
        <v>0</v>
      </c>
      <c r="Y183" s="155">
        <v>1</v>
      </c>
      <c r="Z183" s="155">
        <v>1</v>
      </c>
      <c r="AA183" s="155"/>
      <c r="AB183" s="155"/>
      <c r="AC183" s="156"/>
      <c r="AD183" s="157"/>
    </row>
    <row r="184" spans="2:30" ht="28.8" x14ac:dyDescent="0.3">
      <c r="B184" s="276" t="s">
        <v>287</v>
      </c>
      <c r="C184" s="270" t="s">
        <v>45</v>
      </c>
      <c r="D184" s="269" t="s">
        <v>158</v>
      </c>
      <c r="Q184" s="117" t="s">
        <v>450</v>
      </c>
      <c r="R184" s="108" t="s">
        <v>34</v>
      </c>
      <c r="S184" s="108" t="s">
        <v>34</v>
      </c>
      <c r="T184" s="109"/>
      <c r="U184" s="109" t="s">
        <v>89</v>
      </c>
      <c r="V184" s="109">
        <v>1</v>
      </c>
      <c r="W184" s="109"/>
      <c r="X184" s="109"/>
      <c r="Y184" s="109"/>
      <c r="Z184" s="109"/>
      <c r="AA184" s="109"/>
      <c r="AB184" s="109"/>
      <c r="AC184" s="123"/>
      <c r="AD184" s="110"/>
    </row>
    <row r="185" spans="2:30" ht="28.8" x14ac:dyDescent="0.3">
      <c r="B185" s="276" t="s">
        <v>287</v>
      </c>
      <c r="C185" s="265" t="s">
        <v>215</v>
      </c>
      <c r="D185" s="263" t="s">
        <v>467</v>
      </c>
      <c r="Q185" s="117" t="s">
        <v>450</v>
      </c>
      <c r="R185" s="108" t="s">
        <v>94</v>
      </c>
      <c r="S185" s="108" t="s">
        <v>133</v>
      </c>
      <c r="T185" s="109" t="s">
        <v>134</v>
      </c>
      <c r="U185" s="109" t="s">
        <v>93</v>
      </c>
      <c r="V185" s="109"/>
      <c r="W185" s="109"/>
      <c r="X185" s="109"/>
      <c r="Y185" s="109"/>
      <c r="Z185" s="109"/>
      <c r="AA185" s="109"/>
      <c r="AB185" s="109"/>
      <c r="AC185" s="123"/>
      <c r="AD185" s="110" t="s">
        <v>293</v>
      </c>
    </row>
    <row r="186" spans="2:30" ht="28.8" x14ac:dyDescent="0.3">
      <c r="B186" s="276" t="s">
        <v>287</v>
      </c>
      <c r="C186" s="265" t="s">
        <v>468</v>
      </c>
      <c r="D186" s="263" t="s">
        <v>467</v>
      </c>
      <c r="Q186" s="117" t="s">
        <v>450</v>
      </c>
      <c r="R186" s="108" t="s">
        <v>241</v>
      </c>
      <c r="S186" s="108" t="s">
        <v>312</v>
      </c>
      <c r="T186" s="109" t="s">
        <v>92</v>
      </c>
      <c r="U186" s="109" t="s">
        <v>93</v>
      </c>
      <c r="V186" s="109"/>
      <c r="W186" s="109"/>
      <c r="X186" s="109"/>
      <c r="Y186" s="109"/>
      <c r="Z186" s="109"/>
      <c r="AA186" s="109"/>
      <c r="AB186" s="109"/>
      <c r="AC186" s="123"/>
      <c r="AD186" s="110" t="s">
        <v>293</v>
      </c>
    </row>
    <row r="187" spans="2:30" ht="86.4" x14ac:dyDescent="0.3">
      <c r="B187" s="276" t="s">
        <v>287</v>
      </c>
      <c r="C187" s="270" t="s">
        <v>469</v>
      </c>
      <c r="D187" s="269" t="s">
        <v>470</v>
      </c>
      <c r="Q187" s="117" t="s">
        <v>450</v>
      </c>
      <c r="R187" s="108" t="s">
        <v>243</v>
      </c>
      <c r="S187" s="108" t="s">
        <v>255</v>
      </c>
      <c r="T187" s="109" t="s">
        <v>92</v>
      </c>
      <c r="U187" s="109" t="s">
        <v>93</v>
      </c>
      <c r="V187" s="109"/>
      <c r="W187" s="109"/>
      <c r="X187" s="109"/>
      <c r="Y187" s="109"/>
      <c r="Z187" s="109"/>
      <c r="AA187" s="109"/>
      <c r="AB187" s="109"/>
      <c r="AC187" s="123"/>
      <c r="AD187" s="110" t="s">
        <v>293</v>
      </c>
    </row>
    <row r="188" spans="2:30" ht="86.4" x14ac:dyDescent="0.3">
      <c r="B188" s="276" t="s">
        <v>287</v>
      </c>
      <c r="C188" s="270" t="s">
        <v>471</v>
      </c>
      <c r="D188" s="269" t="s">
        <v>472</v>
      </c>
      <c r="Q188" s="117" t="s">
        <v>450</v>
      </c>
      <c r="R188" s="108" t="s">
        <v>245</v>
      </c>
      <c r="S188" s="108" t="s">
        <v>256</v>
      </c>
      <c r="T188" s="109" t="s">
        <v>92</v>
      </c>
      <c r="U188" s="109" t="s">
        <v>93</v>
      </c>
      <c r="V188" s="109"/>
      <c r="W188" s="109"/>
      <c r="X188" s="109"/>
      <c r="Y188" s="109"/>
      <c r="Z188" s="109"/>
      <c r="AA188" s="109"/>
      <c r="AB188" s="109"/>
      <c r="AC188" s="123"/>
      <c r="AD188" s="110" t="s">
        <v>293</v>
      </c>
    </row>
    <row r="189" spans="2:30" ht="43.2" x14ac:dyDescent="0.3">
      <c r="B189" s="276" t="s">
        <v>287</v>
      </c>
      <c r="C189" s="270" t="s">
        <v>473</v>
      </c>
      <c r="D189" s="277" t="s">
        <v>474</v>
      </c>
      <c r="Q189" s="117" t="s">
        <v>450</v>
      </c>
      <c r="R189" s="108" t="s">
        <v>241</v>
      </c>
      <c r="S189" s="108" t="s">
        <v>104</v>
      </c>
      <c r="T189" s="109" t="s">
        <v>92</v>
      </c>
      <c r="U189" s="109" t="s">
        <v>93</v>
      </c>
      <c r="V189" s="109"/>
      <c r="W189" s="109"/>
      <c r="X189" s="109"/>
      <c r="Y189" s="109"/>
      <c r="Z189" s="109"/>
      <c r="AA189" s="109"/>
      <c r="AB189" s="109"/>
      <c r="AC189" s="123" t="s">
        <v>105</v>
      </c>
      <c r="AD189" s="110" t="s">
        <v>294</v>
      </c>
    </row>
    <row r="190" spans="2:30" ht="43.2" x14ac:dyDescent="0.3">
      <c r="B190" s="276" t="s">
        <v>287</v>
      </c>
      <c r="C190" s="270" t="s">
        <v>475</v>
      </c>
      <c r="D190" s="269" t="s">
        <v>476</v>
      </c>
      <c r="Q190" s="117" t="s">
        <v>450</v>
      </c>
      <c r="R190" s="124" t="s">
        <v>452</v>
      </c>
      <c r="S190" s="124" t="s">
        <v>452</v>
      </c>
      <c r="T190" s="109"/>
      <c r="U190" s="109" t="s">
        <v>110</v>
      </c>
      <c r="V190" s="109">
        <v>1</v>
      </c>
      <c r="W190" s="109" t="s">
        <v>111</v>
      </c>
      <c r="X190" s="109">
        <v>0</v>
      </c>
      <c r="Y190" s="109">
        <v>1</v>
      </c>
      <c r="Z190" s="109">
        <v>1</v>
      </c>
      <c r="AA190" s="109" t="s">
        <v>177</v>
      </c>
      <c r="AB190" s="109" t="s">
        <v>104</v>
      </c>
      <c r="AC190" s="123"/>
      <c r="AD190" s="110"/>
    </row>
    <row r="191" spans="2:30" ht="28.8" x14ac:dyDescent="0.3">
      <c r="B191" s="276" t="s">
        <v>287</v>
      </c>
      <c r="C191" s="270" t="s">
        <v>477</v>
      </c>
      <c r="D191" s="269" t="s">
        <v>478</v>
      </c>
      <c r="Q191" s="117" t="s">
        <v>450</v>
      </c>
      <c r="R191" s="108" t="s">
        <v>94</v>
      </c>
      <c r="S191" s="108" t="s">
        <v>94</v>
      </c>
      <c r="T191" s="109"/>
      <c r="U191" s="109" t="s">
        <v>110</v>
      </c>
      <c r="V191" s="109">
        <v>2</v>
      </c>
      <c r="W191" s="109" t="s">
        <v>111</v>
      </c>
      <c r="X191" s="109">
        <v>0</v>
      </c>
      <c r="Y191" s="109">
        <v>1</v>
      </c>
      <c r="Z191" s="109">
        <v>1</v>
      </c>
      <c r="AA191" s="109" t="s">
        <v>177</v>
      </c>
      <c r="AB191" s="109" t="s">
        <v>104</v>
      </c>
      <c r="AC191" s="123"/>
      <c r="AD191" s="110"/>
    </row>
    <row r="192" spans="2:30" ht="57.6" x14ac:dyDescent="0.3">
      <c r="B192" s="276" t="s">
        <v>287</v>
      </c>
      <c r="C192" s="270" t="s">
        <v>479</v>
      </c>
      <c r="D192" s="269" t="s">
        <v>480</v>
      </c>
      <c r="Q192" s="117" t="s">
        <v>450</v>
      </c>
      <c r="R192" s="108" t="s">
        <v>251</v>
      </c>
      <c r="S192" s="108" t="s">
        <v>251</v>
      </c>
      <c r="T192" s="105"/>
      <c r="U192" s="105" t="s">
        <v>130</v>
      </c>
      <c r="V192" s="102">
        <v>1</v>
      </c>
      <c r="W192" s="102" t="s">
        <v>111</v>
      </c>
      <c r="X192" s="102">
        <v>0</v>
      </c>
      <c r="Y192" s="102">
        <v>1</v>
      </c>
      <c r="Z192" s="102">
        <v>1</v>
      </c>
      <c r="AA192" s="102"/>
      <c r="AB192" s="102"/>
      <c r="AC192" s="112"/>
      <c r="AD192" s="103"/>
    </row>
    <row r="193" spans="2:30" ht="360" x14ac:dyDescent="0.3">
      <c r="B193" s="276" t="s">
        <v>287</v>
      </c>
      <c r="C193" s="270" t="s">
        <v>481</v>
      </c>
      <c r="D193" s="269" t="s">
        <v>558</v>
      </c>
      <c r="Q193" s="118" t="s">
        <v>275</v>
      </c>
      <c r="R193" s="119" t="s">
        <v>34</v>
      </c>
      <c r="S193" s="119" t="s">
        <v>34</v>
      </c>
      <c r="T193" s="120"/>
      <c r="U193" s="120" t="s">
        <v>89</v>
      </c>
      <c r="V193" s="120">
        <v>1</v>
      </c>
      <c r="W193" s="120"/>
      <c r="X193" s="120"/>
      <c r="Y193" s="120"/>
      <c r="Z193" s="120"/>
      <c r="AA193" s="120"/>
      <c r="AB193" s="120"/>
      <c r="AC193" s="121"/>
      <c r="AD193" s="122"/>
    </row>
    <row r="194" spans="2:30" ht="28.8" x14ac:dyDescent="0.3">
      <c r="B194" s="276" t="s">
        <v>288</v>
      </c>
      <c r="C194" s="265" t="s">
        <v>34</v>
      </c>
      <c r="D194" s="263" t="s">
        <v>156</v>
      </c>
      <c r="Q194" s="118" t="s">
        <v>275</v>
      </c>
      <c r="R194" s="119" t="s">
        <v>94</v>
      </c>
      <c r="S194" s="119" t="s">
        <v>133</v>
      </c>
      <c r="T194" s="120" t="s">
        <v>134</v>
      </c>
      <c r="U194" s="120" t="s">
        <v>93</v>
      </c>
      <c r="V194" s="120"/>
      <c r="W194" s="120"/>
      <c r="X194" s="120"/>
      <c r="Y194" s="120"/>
      <c r="Z194" s="120"/>
      <c r="AA194" s="120"/>
      <c r="AB194" s="120"/>
      <c r="AC194" s="121"/>
      <c r="AD194" s="122" t="s">
        <v>293</v>
      </c>
    </row>
    <row r="195" spans="2:30" ht="28.8" x14ac:dyDescent="0.3">
      <c r="B195" s="276" t="s">
        <v>288</v>
      </c>
      <c r="C195" s="265" t="s">
        <v>35</v>
      </c>
      <c r="D195" s="263" t="s">
        <v>159</v>
      </c>
      <c r="Q195" s="118" t="s">
        <v>275</v>
      </c>
      <c r="R195" s="119" t="s">
        <v>241</v>
      </c>
      <c r="S195" s="119" t="s">
        <v>312</v>
      </c>
      <c r="T195" s="120" t="s">
        <v>92</v>
      </c>
      <c r="U195" s="120" t="s">
        <v>93</v>
      </c>
      <c r="V195" s="120"/>
      <c r="W195" s="120"/>
      <c r="X195" s="120"/>
      <c r="Y195" s="120"/>
      <c r="Z195" s="120"/>
      <c r="AA195" s="120"/>
      <c r="AB195" s="120"/>
      <c r="AC195" s="121"/>
      <c r="AD195" s="122" t="s">
        <v>293</v>
      </c>
    </row>
    <row r="196" spans="2:30" ht="28.8" x14ac:dyDescent="0.3">
      <c r="B196" s="276" t="s">
        <v>288</v>
      </c>
      <c r="C196" s="265" t="s">
        <v>119</v>
      </c>
      <c r="D196" s="263" t="s">
        <v>157</v>
      </c>
      <c r="Q196" s="118" t="s">
        <v>275</v>
      </c>
      <c r="R196" s="119" t="s">
        <v>243</v>
      </c>
      <c r="S196" s="119" t="s">
        <v>255</v>
      </c>
      <c r="T196" s="120" t="s">
        <v>92</v>
      </c>
      <c r="U196" s="120" t="s">
        <v>93</v>
      </c>
      <c r="V196" s="120"/>
      <c r="W196" s="120"/>
      <c r="X196" s="120"/>
      <c r="Y196" s="120"/>
      <c r="Z196" s="120"/>
      <c r="AA196" s="120"/>
      <c r="AB196" s="120"/>
      <c r="AC196" s="121"/>
      <c r="AD196" s="122" t="s">
        <v>293</v>
      </c>
    </row>
    <row r="197" spans="2:30" ht="28.8" x14ac:dyDescent="0.3">
      <c r="B197" s="276" t="s">
        <v>288</v>
      </c>
      <c r="C197" s="270" t="s">
        <v>45</v>
      </c>
      <c r="D197" s="269" t="s">
        <v>158</v>
      </c>
      <c r="Q197" s="118" t="s">
        <v>275</v>
      </c>
      <c r="R197" s="119" t="s">
        <v>245</v>
      </c>
      <c r="S197" s="119" t="s">
        <v>256</v>
      </c>
      <c r="T197" s="120" t="s">
        <v>92</v>
      </c>
      <c r="U197" s="120" t="s">
        <v>93</v>
      </c>
      <c r="V197" s="120"/>
      <c r="W197" s="120"/>
      <c r="X197" s="120"/>
      <c r="Y197" s="120"/>
      <c r="Z197" s="120"/>
      <c r="AA197" s="120"/>
      <c r="AB197" s="120"/>
      <c r="AC197" s="121"/>
      <c r="AD197" s="122" t="s">
        <v>293</v>
      </c>
    </row>
    <row r="198" spans="2:30" ht="28.8" x14ac:dyDescent="0.3">
      <c r="B198" s="276" t="s">
        <v>288</v>
      </c>
      <c r="C198" s="265" t="s">
        <v>215</v>
      </c>
      <c r="D198" s="263" t="s">
        <v>467</v>
      </c>
      <c r="Q198" s="118" t="s">
        <v>275</v>
      </c>
      <c r="R198" s="119" t="s">
        <v>241</v>
      </c>
      <c r="S198" s="119" t="s">
        <v>104</v>
      </c>
      <c r="T198" s="120" t="s">
        <v>92</v>
      </c>
      <c r="U198" s="120" t="s">
        <v>93</v>
      </c>
      <c r="V198" s="120"/>
      <c r="W198" s="120"/>
      <c r="X198" s="120"/>
      <c r="Y198" s="120"/>
      <c r="Z198" s="120"/>
      <c r="AA198" s="120"/>
      <c r="AB198" s="120"/>
      <c r="AC198" s="121" t="s">
        <v>105</v>
      </c>
      <c r="AD198" s="122" t="s">
        <v>294</v>
      </c>
    </row>
    <row r="199" spans="2:30" ht="28.8" x14ac:dyDescent="0.3">
      <c r="B199" s="276" t="s">
        <v>288</v>
      </c>
      <c r="C199" s="265" t="s">
        <v>468</v>
      </c>
      <c r="D199" s="263" t="s">
        <v>467</v>
      </c>
      <c r="Q199" s="118" t="s">
        <v>275</v>
      </c>
      <c r="R199" s="137" t="s">
        <v>35</v>
      </c>
      <c r="S199" s="137" t="s">
        <v>35</v>
      </c>
      <c r="T199" s="120"/>
      <c r="U199" s="120" t="s">
        <v>110</v>
      </c>
      <c r="V199" s="120">
        <v>1</v>
      </c>
      <c r="W199" s="120" t="s">
        <v>111</v>
      </c>
      <c r="X199" s="120">
        <v>0</v>
      </c>
      <c r="Y199" s="120">
        <v>1</v>
      </c>
      <c r="Z199" s="120">
        <v>1</v>
      </c>
      <c r="AA199" s="120" t="s">
        <v>112</v>
      </c>
      <c r="AB199" s="120" t="s">
        <v>35</v>
      </c>
      <c r="AC199" s="121"/>
      <c r="AD199" s="122"/>
    </row>
    <row r="200" spans="2:30" ht="100.8" x14ac:dyDescent="0.3">
      <c r="B200" s="276" t="s">
        <v>288</v>
      </c>
      <c r="C200" s="270" t="s">
        <v>469</v>
      </c>
      <c r="D200" s="269" t="s">
        <v>482</v>
      </c>
      <c r="Q200" s="118" t="s">
        <v>275</v>
      </c>
      <c r="R200" s="119" t="s">
        <v>249</v>
      </c>
      <c r="S200" s="119" t="s">
        <v>257</v>
      </c>
      <c r="T200" s="120"/>
      <c r="U200" s="120" t="s">
        <v>110</v>
      </c>
      <c r="V200" s="120">
        <v>2</v>
      </c>
      <c r="W200" s="120" t="s">
        <v>111</v>
      </c>
      <c r="X200" s="120">
        <v>0</v>
      </c>
      <c r="Y200" s="120">
        <v>1</v>
      </c>
      <c r="Z200" s="120">
        <v>1</v>
      </c>
      <c r="AA200" s="120" t="s">
        <v>177</v>
      </c>
      <c r="AB200" s="120" t="s">
        <v>104</v>
      </c>
      <c r="AC200" s="121"/>
      <c r="AD200" s="122"/>
    </row>
    <row r="201" spans="2:30" ht="86.4" x14ac:dyDescent="0.3">
      <c r="B201" s="276" t="s">
        <v>288</v>
      </c>
      <c r="C201" s="270" t="s">
        <v>471</v>
      </c>
      <c r="D201" s="269" t="s">
        <v>483</v>
      </c>
      <c r="Q201" s="118" t="s">
        <v>275</v>
      </c>
      <c r="R201" s="137" t="s">
        <v>251</v>
      </c>
      <c r="S201" s="137" t="s">
        <v>251</v>
      </c>
      <c r="T201" s="138"/>
      <c r="U201" s="138" t="s">
        <v>130</v>
      </c>
      <c r="V201" s="138">
        <v>1</v>
      </c>
      <c r="W201" s="138" t="s">
        <v>111</v>
      </c>
      <c r="X201" s="138">
        <v>0</v>
      </c>
      <c r="Y201" s="138">
        <v>1</v>
      </c>
      <c r="Z201" s="138">
        <v>1</v>
      </c>
      <c r="AA201" s="138"/>
      <c r="AB201" s="138"/>
      <c r="AC201" s="139"/>
      <c r="AD201" s="140"/>
    </row>
    <row r="202" spans="2:30" ht="43.2" x14ac:dyDescent="0.3">
      <c r="B202" s="276" t="s">
        <v>288</v>
      </c>
      <c r="C202" s="270" t="s">
        <v>473</v>
      </c>
      <c r="D202" s="269" t="s">
        <v>474</v>
      </c>
      <c r="Q202" s="178" t="s">
        <v>434</v>
      </c>
      <c r="R202" s="179" t="s">
        <v>34</v>
      </c>
      <c r="S202" s="179" t="s">
        <v>34</v>
      </c>
      <c r="T202" s="180"/>
      <c r="U202" s="180" t="s">
        <v>89</v>
      </c>
      <c r="V202" s="180">
        <v>1</v>
      </c>
      <c r="W202" s="180"/>
      <c r="X202" s="180"/>
      <c r="Y202" s="180"/>
      <c r="Z202" s="180"/>
      <c r="AA202" s="180"/>
      <c r="AB202" s="180"/>
      <c r="AC202" s="181"/>
      <c r="AD202" s="182"/>
    </row>
    <row r="203" spans="2:30" ht="43.2" x14ac:dyDescent="0.3">
      <c r="B203" s="276" t="s">
        <v>288</v>
      </c>
      <c r="C203" s="270" t="s">
        <v>475</v>
      </c>
      <c r="D203" s="269" t="s">
        <v>484</v>
      </c>
      <c r="Q203" s="178" t="s">
        <v>434</v>
      </c>
      <c r="R203" s="179" t="s">
        <v>304</v>
      </c>
      <c r="S203" s="179" t="s">
        <v>292</v>
      </c>
      <c r="T203" s="180" t="s">
        <v>134</v>
      </c>
      <c r="U203" s="180" t="s">
        <v>93</v>
      </c>
      <c r="V203" s="180"/>
      <c r="W203" s="180"/>
      <c r="X203" s="180"/>
      <c r="Y203" s="180"/>
      <c r="Z203" s="180"/>
      <c r="AA203" s="180"/>
      <c r="AB203" s="180"/>
      <c r="AC203" s="181"/>
      <c r="AD203" s="182" t="s">
        <v>293</v>
      </c>
    </row>
    <row r="204" spans="2:30" ht="28.8" x14ac:dyDescent="0.3">
      <c r="B204" s="276" t="s">
        <v>288</v>
      </c>
      <c r="C204" s="270" t="s">
        <v>477</v>
      </c>
      <c r="D204" s="269" t="s">
        <v>478</v>
      </c>
      <c r="Q204" s="178" t="s">
        <v>434</v>
      </c>
      <c r="R204" s="179" t="s">
        <v>297</v>
      </c>
      <c r="S204" s="179" t="s">
        <v>305</v>
      </c>
      <c r="T204" s="180" t="s">
        <v>92</v>
      </c>
      <c r="U204" s="180" t="s">
        <v>93</v>
      </c>
      <c r="V204" s="180"/>
      <c r="W204" s="180"/>
      <c r="X204" s="180"/>
      <c r="Y204" s="180"/>
      <c r="Z204" s="180"/>
      <c r="AA204" s="180"/>
      <c r="AB204" s="180"/>
      <c r="AC204" s="181"/>
      <c r="AD204" s="182" t="s">
        <v>293</v>
      </c>
    </row>
    <row r="205" spans="2:30" ht="57.6" x14ac:dyDescent="0.3">
      <c r="B205" s="276" t="s">
        <v>288</v>
      </c>
      <c r="C205" s="270" t="s">
        <v>479</v>
      </c>
      <c r="D205" s="269" t="s">
        <v>485</v>
      </c>
      <c r="Q205" s="178" t="s">
        <v>434</v>
      </c>
      <c r="R205" s="179" t="s">
        <v>8</v>
      </c>
      <c r="S205" s="179" t="s">
        <v>311</v>
      </c>
      <c r="T205" s="180" t="s">
        <v>92</v>
      </c>
      <c r="U205" s="180" t="s">
        <v>93</v>
      </c>
      <c r="V205" s="180"/>
      <c r="W205" s="180"/>
      <c r="X205" s="180"/>
      <c r="Y205" s="180"/>
      <c r="Z205" s="180"/>
      <c r="AA205" s="180"/>
      <c r="AB205" s="180"/>
      <c r="AC205" s="181"/>
      <c r="AD205" s="182" t="s">
        <v>293</v>
      </c>
    </row>
    <row r="206" spans="2:30" ht="360" x14ac:dyDescent="0.3">
      <c r="B206" s="276" t="s">
        <v>288</v>
      </c>
      <c r="C206" s="270" t="s">
        <v>481</v>
      </c>
      <c r="D206" s="269" t="s">
        <v>558</v>
      </c>
      <c r="Q206" s="178" t="s">
        <v>434</v>
      </c>
      <c r="R206" s="179" t="s">
        <v>13</v>
      </c>
      <c r="S206" s="179" t="s">
        <v>97</v>
      </c>
      <c r="T206" s="180" t="s">
        <v>92</v>
      </c>
      <c r="U206" s="180" t="s">
        <v>93</v>
      </c>
      <c r="V206" s="180"/>
      <c r="W206" s="180"/>
      <c r="X206" s="180"/>
      <c r="Y206" s="180"/>
      <c r="Z206" s="180"/>
      <c r="AA206" s="180"/>
      <c r="AB206" s="180"/>
      <c r="AC206" s="181"/>
      <c r="AD206" s="182" t="s">
        <v>293</v>
      </c>
    </row>
    <row r="207" spans="2:30" ht="28.8" x14ac:dyDescent="0.3">
      <c r="B207" s="276" t="s">
        <v>283</v>
      </c>
      <c r="C207" s="265" t="s">
        <v>34</v>
      </c>
      <c r="D207" s="263" t="s">
        <v>156</v>
      </c>
      <c r="Q207" s="178" t="s">
        <v>434</v>
      </c>
      <c r="R207" s="179" t="s">
        <v>306</v>
      </c>
      <c r="S207" s="179" t="s">
        <v>312</v>
      </c>
      <c r="T207" s="180" t="s">
        <v>92</v>
      </c>
      <c r="U207" s="180" t="s">
        <v>93</v>
      </c>
      <c r="V207" s="180"/>
      <c r="W207" s="180"/>
      <c r="X207" s="180"/>
      <c r="Y207" s="180"/>
      <c r="Z207" s="180"/>
      <c r="AA207" s="180"/>
      <c r="AB207" s="180"/>
      <c r="AC207" s="181"/>
      <c r="AD207" s="182" t="s">
        <v>293</v>
      </c>
    </row>
    <row r="208" spans="2:30" ht="28.8" x14ac:dyDescent="0.3">
      <c r="B208" s="276" t="s">
        <v>283</v>
      </c>
      <c r="C208" s="265" t="s">
        <v>35</v>
      </c>
      <c r="D208" s="263" t="s">
        <v>159</v>
      </c>
      <c r="Q208" s="178" t="s">
        <v>434</v>
      </c>
      <c r="R208" s="179" t="s">
        <v>306</v>
      </c>
      <c r="S208" s="179" t="s">
        <v>104</v>
      </c>
      <c r="T208" s="180" t="s">
        <v>92</v>
      </c>
      <c r="U208" s="180" t="s">
        <v>93</v>
      </c>
      <c r="V208" s="180"/>
      <c r="W208" s="180"/>
      <c r="X208" s="180"/>
      <c r="Y208" s="180"/>
      <c r="Z208" s="180"/>
      <c r="AA208" s="180"/>
      <c r="AB208" s="180"/>
      <c r="AC208" s="181" t="s">
        <v>105</v>
      </c>
      <c r="AD208" s="182" t="s">
        <v>294</v>
      </c>
    </row>
    <row r="209" spans="2:30" ht="28.8" x14ac:dyDescent="0.3">
      <c r="B209" s="276" t="s">
        <v>283</v>
      </c>
      <c r="C209" s="265" t="s">
        <v>119</v>
      </c>
      <c r="D209" s="263" t="s">
        <v>157</v>
      </c>
      <c r="Q209" s="178" t="s">
        <v>434</v>
      </c>
      <c r="R209" s="179" t="s">
        <v>307</v>
      </c>
      <c r="S209" s="179" t="s">
        <v>307</v>
      </c>
      <c r="T209" s="180"/>
      <c r="U209" s="180" t="s">
        <v>110</v>
      </c>
      <c r="V209" s="180">
        <v>1</v>
      </c>
      <c r="W209" s="180" t="s">
        <v>185</v>
      </c>
      <c r="X209" s="180">
        <v>0</v>
      </c>
      <c r="Y209" s="180">
        <v>0</v>
      </c>
      <c r="Z209" s="180">
        <v>0</v>
      </c>
      <c r="AA209" s="180" t="s">
        <v>177</v>
      </c>
      <c r="AB209" s="180" t="s">
        <v>104</v>
      </c>
      <c r="AC209" s="181"/>
      <c r="AD209" s="182"/>
    </row>
    <row r="210" spans="2:30" ht="28.8" x14ac:dyDescent="0.3">
      <c r="B210" s="276" t="s">
        <v>283</v>
      </c>
      <c r="C210" s="270" t="s">
        <v>45</v>
      </c>
      <c r="D210" s="269" t="s">
        <v>158</v>
      </c>
      <c r="Q210" s="178" t="s">
        <v>434</v>
      </c>
      <c r="R210" s="179" t="s">
        <v>313</v>
      </c>
      <c r="S210" s="179" t="s">
        <v>313</v>
      </c>
      <c r="T210" s="180"/>
      <c r="U210" s="180" t="s">
        <v>110</v>
      </c>
      <c r="V210" s="180">
        <v>2</v>
      </c>
      <c r="W210" s="180" t="s">
        <v>111</v>
      </c>
      <c r="X210" s="180">
        <v>0</v>
      </c>
      <c r="Y210" s="180">
        <v>1</v>
      </c>
      <c r="Z210" s="180">
        <v>1</v>
      </c>
      <c r="AA210" s="180" t="s">
        <v>177</v>
      </c>
      <c r="AB210" s="180" t="s">
        <v>104</v>
      </c>
      <c r="AC210" s="181"/>
      <c r="AD210" s="182"/>
    </row>
    <row r="211" spans="2:30" ht="28.8" x14ac:dyDescent="0.3">
      <c r="B211" s="276" t="s">
        <v>283</v>
      </c>
      <c r="C211" s="265" t="s">
        <v>215</v>
      </c>
      <c r="D211" s="263" t="s">
        <v>467</v>
      </c>
      <c r="Q211" s="178" t="s">
        <v>434</v>
      </c>
      <c r="R211" s="183" t="s">
        <v>299</v>
      </c>
      <c r="S211" s="183" t="s">
        <v>308</v>
      </c>
      <c r="T211" s="184"/>
      <c r="U211" s="180" t="s">
        <v>110</v>
      </c>
      <c r="V211" s="184">
        <v>3</v>
      </c>
      <c r="W211" s="184" t="s">
        <v>111</v>
      </c>
      <c r="X211" s="184">
        <v>0</v>
      </c>
      <c r="Y211" s="184">
        <v>1</v>
      </c>
      <c r="Z211" s="184">
        <v>1</v>
      </c>
      <c r="AA211" s="180" t="s">
        <v>177</v>
      </c>
      <c r="AB211" s="180" t="s">
        <v>104</v>
      </c>
      <c r="AC211" s="185"/>
      <c r="AD211" s="182" t="s">
        <v>293</v>
      </c>
    </row>
    <row r="212" spans="2:30" ht="28.8" x14ac:dyDescent="0.3">
      <c r="B212" s="276" t="s">
        <v>283</v>
      </c>
      <c r="C212" s="265" t="s">
        <v>468</v>
      </c>
      <c r="D212" s="263" t="s">
        <v>467</v>
      </c>
      <c r="Q212" s="117" t="s">
        <v>302</v>
      </c>
      <c r="R212" s="108" t="s">
        <v>34</v>
      </c>
      <c r="S212" s="108" t="s">
        <v>34</v>
      </c>
      <c r="T212" s="109"/>
      <c r="U212" s="109" t="s">
        <v>89</v>
      </c>
      <c r="V212" s="109">
        <v>1</v>
      </c>
      <c r="W212" s="109"/>
      <c r="X212" s="109"/>
      <c r="Y212" s="109"/>
      <c r="Z212" s="109"/>
      <c r="AA212" s="109"/>
      <c r="AB212" s="109"/>
      <c r="AC212" s="123"/>
      <c r="AD212" s="110"/>
    </row>
    <row r="213" spans="2:30" ht="86.4" x14ac:dyDescent="0.3">
      <c r="B213" s="276" t="s">
        <v>283</v>
      </c>
      <c r="C213" s="270" t="s">
        <v>469</v>
      </c>
      <c r="D213" s="269" t="s">
        <v>470</v>
      </c>
      <c r="Q213" s="117" t="s">
        <v>302</v>
      </c>
      <c r="R213" s="108" t="s">
        <v>304</v>
      </c>
      <c r="S213" s="108" t="s">
        <v>292</v>
      </c>
      <c r="T213" s="109" t="s">
        <v>134</v>
      </c>
      <c r="U213" s="109" t="s">
        <v>93</v>
      </c>
      <c r="V213" s="109"/>
      <c r="W213" s="109"/>
      <c r="X213" s="109"/>
      <c r="Y213" s="109"/>
      <c r="Z213" s="109"/>
      <c r="AA213" s="109"/>
      <c r="AB213" s="109"/>
      <c r="AC213" s="123"/>
      <c r="AD213" s="110" t="s">
        <v>293</v>
      </c>
    </row>
    <row r="214" spans="2:30" ht="86.4" x14ac:dyDescent="0.3">
      <c r="B214" s="276" t="s">
        <v>283</v>
      </c>
      <c r="C214" s="270" t="s">
        <v>471</v>
      </c>
      <c r="D214" s="269" t="s">
        <v>472</v>
      </c>
      <c r="Q214" s="117" t="s">
        <v>302</v>
      </c>
      <c r="R214" s="108" t="s">
        <v>297</v>
      </c>
      <c r="S214" s="108" t="s">
        <v>305</v>
      </c>
      <c r="T214" s="109" t="s">
        <v>92</v>
      </c>
      <c r="U214" s="109" t="s">
        <v>93</v>
      </c>
      <c r="V214" s="109"/>
      <c r="W214" s="109"/>
      <c r="X214" s="109"/>
      <c r="Y214" s="109"/>
      <c r="Z214" s="109"/>
      <c r="AA214" s="109"/>
      <c r="AB214" s="109"/>
      <c r="AC214" s="123"/>
      <c r="AD214" s="110" t="s">
        <v>293</v>
      </c>
    </row>
    <row r="215" spans="2:30" ht="43.2" x14ac:dyDescent="0.3">
      <c r="B215" s="276" t="s">
        <v>283</v>
      </c>
      <c r="C215" s="270" t="s">
        <v>473</v>
      </c>
      <c r="D215" s="269" t="s">
        <v>474</v>
      </c>
      <c r="Q215" s="117" t="s">
        <v>302</v>
      </c>
      <c r="R215" s="108" t="s">
        <v>8</v>
      </c>
      <c r="S215" s="108" t="s">
        <v>311</v>
      </c>
      <c r="T215" s="109" t="s">
        <v>92</v>
      </c>
      <c r="U215" s="109" t="s">
        <v>93</v>
      </c>
      <c r="V215" s="109"/>
      <c r="W215" s="109"/>
      <c r="X215" s="109"/>
      <c r="Y215" s="109"/>
      <c r="Z215" s="109"/>
      <c r="AA215" s="109"/>
      <c r="AB215" s="109"/>
      <c r="AC215" s="123"/>
      <c r="AD215" s="110" t="s">
        <v>293</v>
      </c>
    </row>
    <row r="216" spans="2:30" ht="43.2" x14ac:dyDescent="0.3">
      <c r="B216" s="276" t="s">
        <v>283</v>
      </c>
      <c r="C216" s="270" t="s">
        <v>475</v>
      </c>
      <c r="D216" s="269" t="s">
        <v>476</v>
      </c>
      <c r="Q216" s="117" t="s">
        <v>302</v>
      </c>
      <c r="R216" s="108" t="s">
        <v>13</v>
      </c>
      <c r="S216" s="108" t="s">
        <v>97</v>
      </c>
      <c r="T216" s="109" t="s">
        <v>92</v>
      </c>
      <c r="U216" s="109" t="s">
        <v>93</v>
      </c>
      <c r="V216" s="109"/>
      <c r="W216" s="109"/>
      <c r="X216" s="109"/>
      <c r="Y216" s="109"/>
      <c r="Z216" s="109"/>
      <c r="AA216" s="109"/>
      <c r="AB216" s="109"/>
      <c r="AC216" s="123"/>
      <c r="AD216" s="110" t="s">
        <v>293</v>
      </c>
    </row>
    <row r="217" spans="2:30" ht="28.8" x14ac:dyDescent="0.3">
      <c r="B217" s="276" t="s">
        <v>283</v>
      </c>
      <c r="C217" s="270" t="s">
        <v>477</v>
      </c>
      <c r="D217" s="269" t="s">
        <v>478</v>
      </c>
      <c r="Q217" s="117" t="s">
        <v>302</v>
      </c>
      <c r="R217" s="108" t="s">
        <v>306</v>
      </c>
      <c r="S217" s="108" t="s">
        <v>312</v>
      </c>
      <c r="T217" s="109" t="s">
        <v>92</v>
      </c>
      <c r="U217" s="109" t="s">
        <v>93</v>
      </c>
      <c r="V217" s="109"/>
      <c r="W217" s="109"/>
      <c r="X217" s="109"/>
      <c r="Y217" s="109"/>
      <c r="Z217" s="109"/>
      <c r="AA217" s="109"/>
      <c r="AB217" s="109"/>
      <c r="AC217" s="123"/>
      <c r="AD217" s="110" t="s">
        <v>293</v>
      </c>
    </row>
    <row r="218" spans="2:30" ht="57.6" x14ac:dyDescent="0.3">
      <c r="B218" s="276" t="s">
        <v>283</v>
      </c>
      <c r="C218" s="270" t="s">
        <v>479</v>
      </c>
      <c r="D218" s="269" t="s">
        <v>480</v>
      </c>
      <c r="Q218" s="117" t="s">
        <v>302</v>
      </c>
      <c r="R218" s="108" t="s">
        <v>306</v>
      </c>
      <c r="S218" s="108" t="s">
        <v>104</v>
      </c>
      <c r="T218" s="109" t="s">
        <v>92</v>
      </c>
      <c r="U218" s="109" t="s">
        <v>93</v>
      </c>
      <c r="V218" s="109"/>
      <c r="W218" s="109"/>
      <c r="X218" s="109"/>
      <c r="Y218" s="109"/>
      <c r="Z218" s="109"/>
      <c r="AA218" s="109"/>
      <c r="AB218" s="109"/>
      <c r="AC218" s="123" t="s">
        <v>105</v>
      </c>
      <c r="AD218" s="110" t="s">
        <v>294</v>
      </c>
    </row>
    <row r="219" spans="2:30" ht="360" x14ac:dyDescent="0.3">
      <c r="B219" s="276" t="s">
        <v>283</v>
      </c>
      <c r="C219" s="270" t="s">
        <v>481</v>
      </c>
      <c r="D219" s="269" t="s">
        <v>558</v>
      </c>
      <c r="Q219" s="117" t="s">
        <v>302</v>
      </c>
      <c r="R219" s="108" t="s">
        <v>307</v>
      </c>
      <c r="S219" s="108" t="s">
        <v>307</v>
      </c>
      <c r="T219" s="109"/>
      <c r="U219" s="109" t="s">
        <v>110</v>
      </c>
      <c r="V219" s="109">
        <v>1</v>
      </c>
      <c r="W219" s="109" t="s">
        <v>185</v>
      </c>
      <c r="X219" s="109">
        <v>0</v>
      </c>
      <c r="Y219" s="109">
        <v>0</v>
      </c>
      <c r="Z219" s="109">
        <v>0</v>
      </c>
      <c r="AA219" s="109" t="s">
        <v>177</v>
      </c>
      <c r="AB219" s="109" t="s">
        <v>104</v>
      </c>
      <c r="AC219" s="123"/>
      <c r="AD219" s="110"/>
    </row>
    <row r="220" spans="2:30" ht="28.8" x14ac:dyDescent="0.3">
      <c r="B220" s="276" t="s">
        <v>285</v>
      </c>
      <c r="C220" s="265" t="s">
        <v>34</v>
      </c>
      <c r="D220" s="263" t="s">
        <v>156</v>
      </c>
      <c r="Q220" s="117" t="s">
        <v>302</v>
      </c>
      <c r="R220" s="108" t="s">
        <v>313</v>
      </c>
      <c r="S220" s="108" t="s">
        <v>313</v>
      </c>
      <c r="T220" s="109"/>
      <c r="U220" s="109" t="s">
        <v>110</v>
      </c>
      <c r="V220" s="109">
        <v>2</v>
      </c>
      <c r="W220" s="109" t="s">
        <v>111</v>
      </c>
      <c r="X220" s="109">
        <v>0</v>
      </c>
      <c r="Y220" s="109">
        <v>1</v>
      </c>
      <c r="Z220" s="109">
        <v>1</v>
      </c>
      <c r="AA220" s="109" t="s">
        <v>177</v>
      </c>
      <c r="AB220" s="109" t="s">
        <v>104</v>
      </c>
      <c r="AC220" s="123"/>
      <c r="AD220" s="110"/>
    </row>
    <row r="221" spans="2:30" ht="28.8" x14ac:dyDescent="0.3">
      <c r="B221" s="276" t="s">
        <v>285</v>
      </c>
      <c r="C221" s="265" t="s">
        <v>35</v>
      </c>
      <c r="D221" s="263" t="s">
        <v>159</v>
      </c>
      <c r="Q221" s="117" t="s">
        <v>302</v>
      </c>
      <c r="R221" s="124" t="s">
        <v>299</v>
      </c>
      <c r="S221" s="124" t="s">
        <v>308</v>
      </c>
      <c r="T221" s="111"/>
      <c r="U221" s="109" t="s">
        <v>110</v>
      </c>
      <c r="V221" s="111">
        <v>3</v>
      </c>
      <c r="W221" s="111" t="s">
        <v>111</v>
      </c>
      <c r="X221" s="111">
        <v>0</v>
      </c>
      <c r="Y221" s="111">
        <v>1</v>
      </c>
      <c r="Z221" s="111">
        <v>1</v>
      </c>
      <c r="AA221" s="109" t="s">
        <v>177</v>
      </c>
      <c r="AB221" s="109" t="s">
        <v>104</v>
      </c>
      <c r="AC221" s="126"/>
      <c r="AD221" s="110" t="s">
        <v>293</v>
      </c>
    </row>
    <row r="222" spans="2:30" ht="28.8" x14ac:dyDescent="0.3">
      <c r="B222" s="276" t="s">
        <v>285</v>
      </c>
      <c r="C222" s="265" t="s">
        <v>119</v>
      </c>
      <c r="D222" s="263" t="s">
        <v>157</v>
      </c>
      <c r="Q222" s="147" t="s">
        <v>323</v>
      </c>
      <c r="R222" s="148" t="s">
        <v>34</v>
      </c>
      <c r="S222" s="148" t="s">
        <v>34</v>
      </c>
      <c r="T222" s="149"/>
      <c r="U222" s="149" t="s">
        <v>89</v>
      </c>
      <c r="V222" s="149">
        <v>1</v>
      </c>
      <c r="W222" s="149"/>
      <c r="X222" s="149"/>
      <c r="Y222" s="149"/>
      <c r="Z222" s="149"/>
      <c r="AA222" s="149"/>
      <c r="AB222" s="149"/>
      <c r="AC222" s="150"/>
      <c r="AD222" s="151"/>
    </row>
    <row r="223" spans="2:30" ht="28.8" x14ac:dyDescent="0.3">
      <c r="B223" s="276" t="s">
        <v>285</v>
      </c>
      <c r="C223" s="270" t="s">
        <v>45</v>
      </c>
      <c r="D223" s="269" t="s">
        <v>158</v>
      </c>
      <c r="Q223" s="147" t="s">
        <v>323</v>
      </c>
      <c r="R223" s="148" t="s">
        <v>328</v>
      </c>
      <c r="S223" s="148" t="s">
        <v>292</v>
      </c>
      <c r="T223" s="149" t="s">
        <v>134</v>
      </c>
      <c r="U223" s="149" t="s">
        <v>93</v>
      </c>
      <c r="V223" s="149"/>
      <c r="W223" s="149"/>
      <c r="X223" s="149"/>
      <c r="Y223" s="149"/>
      <c r="Z223" s="149"/>
      <c r="AA223" s="149"/>
      <c r="AB223" s="149"/>
      <c r="AC223" s="150"/>
      <c r="AD223" s="151" t="s">
        <v>293</v>
      </c>
    </row>
    <row r="224" spans="2:30" ht="28.8" x14ac:dyDescent="0.3">
      <c r="B224" s="276" t="s">
        <v>285</v>
      </c>
      <c r="C224" s="265" t="s">
        <v>215</v>
      </c>
      <c r="D224" s="263" t="s">
        <v>467</v>
      </c>
      <c r="Q224" s="147" t="s">
        <v>323</v>
      </c>
      <c r="R224" s="148" t="s">
        <v>310</v>
      </c>
      <c r="S224" s="148" t="s">
        <v>305</v>
      </c>
      <c r="T224" s="149" t="s">
        <v>92</v>
      </c>
      <c r="U224" s="149" t="s">
        <v>93</v>
      </c>
      <c r="V224" s="149"/>
      <c r="W224" s="149"/>
      <c r="X224" s="149"/>
      <c r="Y224" s="149"/>
      <c r="Z224" s="149"/>
      <c r="AA224" s="149"/>
      <c r="AB224" s="149"/>
      <c r="AC224" s="150"/>
      <c r="AD224" s="151" t="s">
        <v>293</v>
      </c>
    </row>
    <row r="225" spans="2:30" ht="28.8" x14ac:dyDescent="0.3">
      <c r="B225" s="276" t="s">
        <v>285</v>
      </c>
      <c r="C225" s="265" t="s">
        <v>468</v>
      </c>
      <c r="D225" s="263" t="s">
        <v>467</v>
      </c>
      <c r="Q225" s="147" t="s">
        <v>323</v>
      </c>
      <c r="R225" s="148" t="s">
        <v>8</v>
      </c>
      <c r="S225" s="148" t="s">
        <v>91</v>
      </c>
      <c r="T225" s="149" t="s">
        <v>92</v>
      </c>
      <c r="U225" s="149" t="s">
        <v>93</v>
      </c>
      <c r="V225" s="149"/>
      <c r="W225" s="149"/>
      <c r="X225" s="149"/>
      <c r="Y225" s="149"/>
      <c r="Z225" s="149"/>
      <c r="AA225" s="149"/>
      <c r="AB225" s="149"/>
      <c r="AC225" s="150"/>
      <c r="AD225" s="151" t="s">
        <v>293</v>
      </c>
    </row>
    <row r="226" spans="2:30" ht="100.8" x14ac:dyDescent="0.3">
      <c r="B226" s="276" t="s">
        <v>285</v>
      </c>
      <c r="C226" s="270" t="s">
        <v>469</v>
      </c>
      <c r="D226" s="269" t="s">
        <v>482</v>
      </c>
      <c r="Q226" s="147" t="s">
        <v>323</v>
      </c>
      <c r="R226" s="148" t="s">
        <v>13</v>
      </c>
      <c r="S226" s="148" t="s">
        <v>97</v>
      </c>
      <c r="T226" s="149" t="s">
        <v>92</v>
      </c>
      <c r="U226" s="149" t="s">
        <v>93</v>
      </c>
      <c r="V226" s="149"/>
      <c r="W226" s="149"/>
      <c r="X226" s="149"/>
      <c r="Y226" s="149"/>
      <c r="Z226" s="149"/>
      <c r="AA226" s="149"/>
      <c r="AB226" s="149"/>
      <c r="AC226" s="150"/>
      <c r="AD226" s="151" t="s">
        <v>293</v>
      </c>
    </row>
    <row r="227" spans="2:30" ht="86.4" x14ac:dyDescent="0.3">
      <c r="B227" s="276" t="s">
        <v>285</v>
      </c>
      <c r="C227" s="270" t="s">
        <v>471</v>
      </c>
      <c r="D227" s="269" t="s">
        <v>483</v>
      </c>
      <c r="Q227" s="147" t="s">
        <v>323</v>
      </c>
      <c r="R227" s="148" t="s">
        <v>329</v>
      </c>
      <c r="S227" s="148" t="s">
        <v>330</v>
      </c>
      <c r="T227" s="149" t="s">
        <v>92</v>
      </c>
      <c r="U227" s="149" t="s">
        <v>93</v>
      </c>
      <c r="V227" s="149"/>
      <c r="W227" s="149"/>
      <c r="X227" s="149"/>
      <c r="Y227" s="149"/>
      <c r="Z227" s="149"/>
      <c r="AA227" s="149"/>
      <c r="AB227" s="149"/>
      <c r="AC227" s="150"/>
      <c r="AD227" s="151" t="s">
        <v>293</v>
      </c>
    </row>
    <row r="228" spans="2:30" ht="43.2" x14ac:dyDescent="0.3">
      <c r="B228" s="276" t="s">
        <v>285</v>
      </c>
      <c r="C228" s="270" t="s">
        <v>473</v>
      </c>
      <c r="D228" s="269" t="s">
        <v>474</v>
      </c>
      <c r="Q228" s="147" t="s">
        <v>323</v>
      </c>
      <c r="R228" s="148" t="s">
        <v>329</v>
      </c>
      <c r="S228" s="148" t="s">
        <v>104</v>
      </c>
      <c r="T228" s="149" t="s">
        <v>92</v>
      </c>
      <c r="U228" s="149" t="s">
        <v>93</v>
      </c>
      <c r="V228" s="149"/>
      <c r="W228" s="149"/>
      <c r="X228" s="149"/>
      <c r="Y228" s="149"/>
      <c r="Z228" s="149"/>
      <c r="AA228" s="149"/>
      <c r="AB228" s="149"/>
      <c r="AC228" s="150" t="s">
        <v>105</v>
      </c>
      <c r="AD228" s="151" t="s">
        <v>294</v>
      </c>
    </row>
    <row r="229" spans="2:30" ht="43.2" x14ac:dyDescent="0.3">
      <c r="B229" s="276" t="s">
        <v>285</v>
      </c>
      <c r="C229" s="270" t="s">
        <v>475</v>
      </c>
      <c r="D229" s="269" t="s">
        <v>484</v>
      </c>
      <c r="Q229" s="147" t="s">
        <v>323</v>
      </c>
      <c r="R229" s="148" t="s">
        <v>307</v>
      </c>
      <c r="S229" s="148" t="s">
        <v>307</v>
      </c>
      <c r="T229" s="149"/>
      <c r="U229" s="149" t="s">
        <v>110</v>
      </c>
      <c r="V229" s="149">
        <v>1</v>
      </c>
      <c r="W229" s="149" t="s">
        <v>111</v>
      </c>
      <c r="X229" s="149">
        <v>0</v>
      </c>
      <c r="Y229" s="149">
        <v>0</v>
      </c>
      <c r="Z229" s="149">
        <v>0</v>
      </c>
      <c r="AA229" s="149" t="s">
        <v>177</v>
      </c>
      <c r="AB229" s="149" t="s">
        <v>104</v>
      </c>
      <c r="AC229" s="150"/>
      <c r="AD229" s="151"/>
    </row>
    <row r="230" spans="2:30" ht="28.8" x14ac:dyDescent="0.3">
      <c r="B230" s="276" t="s">
        <v>285</v>
      </c>
      <c r="C230" s="270" t="s">
        <v>477</v>
      </c>
      <c r="D230" s="269" t="s">
        <v>478</v>
      </c>
      <c r="Q230" s="147" t="s">
        <v>323</v>
      </c>
      <c r="R230" s="148" t="s">
        <v>7</v>
      </c>
      <c r="S230" s="148" t="s">
        <v>7</v>
      </c>
      <c r="T230" s="149"/>
      <c r="U230" s="149" t="s">
        <v>130</v>
      </c>
      <c r="V230" s="149">
        <v>1</v>
      </c>
      <c r="W230" s="149" t="s">
        <v>111</v>
      </c>
      <c r="X230" s="149">
        <v>0</v>
      </c>
      <c r="Y230" s="149">
        <v>1</v>
      </c>
      <c r="Z230" s="149">
        <v>1</v>
      </c>
      <c r="AA230" s="149"/>
      <c r="AB230" s="149"/>
      <c r="AC230" s="150"/>
      <c r="AD230" s="152"/>
    </row>
    <row r="231" spans="2:30" ht="57.6" x14ac:dyDescent="0.3">
      <c r="B231" s="276" t="s">
        <v>285</v>
      </c>
      <c r="C231" s="270" t="s">
        <v>479</v>
      </c>
      <c r="D231" s="269" t="s">
        <v>485</v>
      </c>
      <c r="Q231" s="172" t="s">
        <v>421</v>
      </c>
      <c r="R231" s="173" t="s">
        <v>34</v>
      </c>
      <c r="S231" s="173" t="s">
        <v>34</v>
      </c>
      <c r="T231" s="174"/>
      <c r="U231" s="174" t="s">
        <v>89</v>
      </c>
      <c r="V231" s="174">
        <v>1</v>
      </c>
      <c r="W231" s="174"/>
      <c r="X231" s="174"/>
      <c r="Y231" s="174"/>
      <c r="Z231" s="174"/>
      <c r="AA231" s="174"/>
      <c r="AB231" s="174"/>
      <c r="AC231" s="175"/>
      <c r="AD231" s="176"/>
    </row>
    <row r="232" spans="2:30" ht="360" x14ac:dyDescent="0.3">
      <c r="B232" s="276" t="s">
        <v>285</v>
      </c>
      <c r="C232" s="270" t="s">
        <v>481</v>
      </c>
      <c r="D232" s="269" t="s">
        <v>558</v>
      </c>
      <c r="Q232" s="172" t="s">
        <v>421</v>
      </c>
      <c r="R232" s="173" t="s">
        <v>328</v>
      </c>
      <c r="S232" s="173" t="s">
        <v>292</v>
      </c>
      <c r="T232" s="174" t="s">
        <v>134</v>
      </c>
      <c r="U232" s="174" t="s">
        <v>93</v>
      </c>
      <c r="V232" s="174"/>
      <c r="W232" s="174"/>
      <c r="X232" s="174"/>
      <c r="Y232" s="174"/>
      <c r="Z232" s="174"/>
      <c r="AA232" s="174"/>
      <c r="AB232" s="174"/>
      <c r="AC232" s="175"/>
      <c r="AD232" s="176" t="s">
        <v>293</v>
      </c>
    </row>
    <row r="233" spans="2:30" ht="28.8" x14ac:dyDescent="0.3">
      <c r="B233" s="276" t="s">
        <v>458</v>
      </c>
      <c r="C233" s="265" t="s">
        <v>34</v>
      </c>
      <c r="D233" s="263" t="s">
        <v>156</v>
      </c>
      <c r="Q233" s="172" t="s">
        <v>421</v>
      </c>
      <c r="R233" s="173" t="s">
        <v>423</v>
      </c>
      <c r="S233" s="173" t="s">
        <v>335</v>
      </c>
      <c r="T233" s="174" t="s">
        <v>92</v>
      </c>
      <c r="U233" s="174" t="s">
        <v>93</v>
      </c>
      <c r="V233" s="174"/>
      <c r="W233" s="174"/>
      <c r="X233" s="174"/>
      <c r="Y233" s="174"/>
      <c r="Z233" s="174"/>
      <c r="AA233" s="174"/>
      <c r="AB233" s="174"/>
      <c r="AC233" s="175"/>
      <c r="AD233" s="176" t="s">
        <v>293</v>
      </c>
    </row>
    <row r="234" spans="2:30" ht="28.8" x14ac:dyDescent="0.3">
      <c r="B234" s="276" t="s">
        <v>458</v>
      </c>
      <c r="C234" s="265" t="s">
        <v>35</v>
      </c>
      <c r="D234" s="263" t="s">
        <v>159</v>
      </c>
      <c r="Q234" s="172" t="s">
        <v>421</v>
      </c>
      <c r="R234" s="173" t="s">
        <v>329</v>
      </c>
      <c r="S234" s="173" t="s">
        <v>432</v>
      </c>
      <c r="T234" s="174" t="s">
        <v>92</v>
      </c>
      <c r="U234" s="174" t="s">
        <v>93</v>
      </c>
      <c r="V234" s="174"/>
      <c r="W234" s="174"/>
      <c r="X234" s="174"/>
      <c r="Y234" s="174"/>
      <c r="Z234" s="174"/>
      <c r="AA234" s="174"/>
      <c r="AB234" s="174"/>
      <c r="AC234" s="175"/>
      <c r="AD234" s="176" t="s">
        <v>293</v>
      </c>
    </row>
    <row r="235" spans="2:30" ht="28.8" x14ac:dyDescent="0.3">
      <c r="B235" s="276" t="s">
        <v>458</v>
      </c>
      <c r="C235" s="265" t="s">
        <v>119</v>
      </c>
      <c r="D235" s="263" t="s">
        <v>157</v>
      </c>
      <c r="Q235" s="172" t="s">
        <v>421</v>
      </c>
      <c r="R235" s="173" t="s">
        <v>329</v>
      </c>
      <c r="S235" s="173" t="s">
        <v>104</v>
      </c>
      <c r="T235" s="174" t="s">
        <v>92</v>
      </c>
      <c r="U235" s="174" t="s">
        <v>93</v>
      </c>
      <c r="V235" s="174"/>
      <c r="W235" s="174"/>
      <c r="X235" s="174"/>
      <c r="Y235" s="174"/>
      <c r="Z235" s="174"/>
      <c r="AA235" s="174"/>
      <c r="AB235" s="174"/>
      <c r="AC235" s="175" t="s">
        <v>105</v>
      </c>
      <c r="AD235" s="176" t="s">
        <v>294</v>
      </c>
    </row>
    <row r="236" spans="2:30" ht="28.8" x14ac:dyDescent="0.3">
      <c r="B236" s="276" t="s">
        <v>458</v>
      </c>
      <c r="C236" s="270" t="s">
        <v>45</v>
      </c>
      <c r="D236" s="269" t="s">
        <v>158</v>
      </c>
      <c r="Q236" s="172" t="s">
        <v>421</v>
      </c>
      <c r="R236" s="173" t="s">
        <v>425</v>
      </c>
      <c r="S236" s="173" t="s">
        <v>429</v>
      </c>
      <c r="T236" s="174"/>
      <c r="U236" s="174" t="s">
        <v>110</v>
      </c>
      <c r="V236" s="174">
        <v>1</v>
      </c>
      <c r="W236" s="174" t="s">
        <v>111</v>
      </c>
      <c r="X236" s="174">
        <v>0</v>
      </c>
      <c r="Y236" s="174">
        <v>1</v>
      </c>
      <c r="Z236" s="174">
        <v>1</v>
      </c>
      <c r="AA236" s="174" t="s">
        <v>177</v>
      </c>
      <c r="AB236" s="174" t="s">
        <v>104</v>
      </c>
      <c r="AC236" s="175"/>
      <c r="AD236" s="176"/>
    </row>
    <row r="237" spans="2:30" ht="28.8" x14ac:dyDescent="0.3">
      <c r="B237" s="276" t="s">
        <v>458</v>
      </c>
      <c r="C237" s="270" t="s">
        <v>469</v>
      </c>
      <c r="D237" s="269" t="s">
        <v>95</v>
      </c>
      <c r="Q237" s="172" t="s">
        <v>421</v>
      </c>
      <c r="R237" s="173" t="s">
        <v>424</v>
      </c>
      <c r="S237" s="173" t="s">
        <v>424</v>
      </c>
      <c r="T237" s="174"/>
      <c r="U237" s="174" t="s">
        <v>110</v>
      </c>
      <c r="V237" s="174">
        <v>2</v>
      </c>
      <c r="W237" s="174" t="s">
        <v>111</v>
      </c>
      <c r="X237" s="174">
        <v>0</v>
      </c>
      <c r="Y237" s="174">
        <v>1</v>
      </c>
      <c r="Z237" s="174">
        <v>1</v>
      </c>
      <c r="AA237" s="174" t="s">
        <v>177</v>
      </c>
      <c r="AB237" s="174" t="s">
        <v>104</v>
      </c>
      <c r="AC237" s="175"/>
      <c r="AD237" s="176"/>
    </row>
    <row r="238" spans="2:30" ht="28.8" x14ac:dyDescent="0.3">
      <c r="B238" s="276" t="s">
        <v>458</v>
      </c>
      <c r="C238" s="270" t="s">
        <v>471</v>
      </c>
      <c r="D238" s="269" t="s">
        <v>95</v>
      </c>
      <c r="Q238" s="172" t="s">
        <v>421</v>
      </c>
      <c r="R238" s="173" t="s">
        <v>307</v>
      </c>
      <c r="S238" s="173" t="s">
        <v>430</v>
      </c>
      <c r="T238" s="174"/>
      <c r="U238" s="174" t="s">
        <v>110</v>
      </c>
      <c r="V238" s="174">
        <v>3</v>
      </c>
      <c r="W238" s="174" t="s">
        <v>111</v>
      </c>
      <c r="X238" s="174">
        <v>0</v>
      </c>
      <c r="Y238" s="174">
        <v>0</v>
      </c>
      <c r="Z238" s="174">
        <v>0</v>
      </c>
      <c r="AA238" s="174" t="s">
        <v>177</v>
      </c>
      <c r="AB238" s="174" t="s">
        <v>104</v>
      </c>
      <c r="AC238" s="175"/>
      <c r="AD238" s="176"/>
    </row>
    <row r="239" spans="2:30" ht="28.8" x14ac:dyDescent="0.3">
      <c r="B239" s="276" t="s">
        <v>458</v>
      </c>
      <c r="C239" s="270" t="s">
        <v>486</v>
      </c>
      <c r="D239" s="269" t="s">
        <v>95</v>
      </c>
      <c r="Q239" s="172" t="s">
        <v>421</v>
      </c>
      <c r="R239" s="173" t="s">
        <v>115</v>
      </c>
      <c r="S239" s="173" t="s">
        <v>115</v>
      </c>
      <c r="T239" s="174"/>
      <c r="U239" s="174" t="s">
        <v>130</v>
      </c>
      <c r="V239" s="174">
        <v>2</v>
      </c>
      <c r="W239" s="174" t="s">
        <v>111</v>
      </c>
      <c r="X239" s="174">
        <v>0</v>
      </c>
      <c r="Y239" s="174">
        <v>1</v>
      </c>
      <c r="Z239" s="174">
        <v>1</v>
      </c>
      <c r="AA239" s="174"/>
      <c r="AB239" s="174"/>
      <c r="AC239" s="175"/>
      <c r="AD239" s="177"/>
    </row>
    <row r="240" spans="2:30" ht="28.8" x14ac:dyDescent="0.3">
      <c r="B240" s="276" t="s">
        <v>458</v>
      </c>
      <c r="C240" s="270" t="s">
        <v>487</v>
      </c>
      <c r="D240" s="269" t="s">
        <v>95</v>
      </c>
      <c r="Q240" s="117" t="s">
        <v>332</v>
      </c>
      <c r="R240" s="108" t="s">
        <v>34</v>
      </c>
      <c r="S240" s="108" t="s">
        <v>34</v>
      </c>
      <c r="T240" s="109"/>
      <c r="U240" s="109" t="s">
        <v>89</v>
      </c>
      <c r="V240" s="109">
        <v>1</v>
      </c>
      <c r="W240" s="109"/>
      <c r="X240" s="109"/>
      <c r="Y240" s="109"/>
      <c r="Z240" s="109"/>
      <c r="AA240" s="109"/>
      <c r="AB240" s="109"/>
      <c r="AC240" s="123"/>
      <c r="AD240" s="110"/>
    </row>
    <row r="241" spans="2:30" ht="28.8" x14ac:dyDescent="0.3">
      <c r="B241" s="276" t="s">
        <v>458</v>
      </c>
      <c r="C241" s="270" t="s">
        <v>488</v>
      </c>
      <c r="D241" s="269" t="s">
        <v>95</v>
      </c>
      <c r="Q241" s="117" t="s">
        <v>332</v>
      </c>
      <c r="R241" s="108" t="s">
        <v>328</v>
      </c>
      <c r="S241" s="108" t="s">
        <v>292</v>
      </c>
      <c r="T241" s="109" t="s">
        <v>134</v>
      </c>
      <c r="U241" s="109" t="s">
        <v>93</v>
      </c>
      <c r="V241" s="109"/>
      <c r="W241" s="109"/>
      <c r="X241" s="109"/>
      <c r="Y241" s="109"/>
      <c r="Z241" s="109"/>
      <c r="AA241" s="109"/>
      <c r="AB241" s="109"/>
      <c r="AC241" s="123"/>
      <c r="AD241" s="110" t="s">
        <v>293</v>
      </c>
    </row>
    <row r="242" spans="2:30" ht="28.8" x14ac:dyDescent="0.3">
      <c r="B242" s="276" t="s">
        <v>459</v>
      </c>
      <c r="C242" s="265" t="s">
        <v>34</v>
      </c>
      <c r="D242" s="263" t="s">
        <v>156</v>
      </c>
      <c r="Q242" s="117" t="s">
        <v>332</v>
      </c>
      <c r="R242" s="108" t="s">
        <v>346</v>
      </c>
      <c r="S242" s="108" t="s">
        <v>335</v>
      </c>
      <c r="T242" s="109" t="s">
        <v>92</v>
      </c>
      <c r="U242" s="109" t="s">
        <v>93</v>
      </c>
      <c r="V242" s="109"/>
      <c r="W242" s="109"/>
      <c r="X242" s="109"/>
      <c r="Y242" s="109"/>
      <c r="Z242" s="109"/>
      <c r="AA242" s="109"/>
      <c r="AB242" s="109"/>
      <c r="AC242" s="123"/>
      <c r="AD242" s="110" t="s">
        <v>293</v>
      </c>
    </row>
    <row r="243" spans="2:30" ht="28.8" x14ac:dyDescent="0.3">
      <c r="B243" s="276" t="s">
        <v>459</v>
      </c>
      <c r="C243" s="265" t="s">
        <v>35</v>
      </c>
      <c r="D243" s="263" t="s">
        <v>159</v>
      </c>
      <c r="Q243" s="117" t="s">
        <v>332</v>
      </c>
      <c r="R243" s="108" t="s">
        <v>90</v>
      </c>
      <c r="S243" s="108" t="s">
        <v>91</v>
      </c>
      <c r="T243" s="109" t="s">
        <v>92</v>
      </c>
      <c r="U243" s="109" t="s">
        <v>93</v>
      </c>
      <c r="V243" s="109"/>
      <c r="W243" s="109"/>
      <c r="X243" s="109"/>
      <c r="Y243" s="109"/>
      <c r="Z243" s="109"/>
      <c r="AA243" s="109"/>
      <c r="AB243" s="109"/>
      <c r="AC243" s="123"/>
      <c r="AD243" s="110" t="s">
        <v>293</v>
      </c>
    </row>
    <row r="244" spans="2:30" ht="28.8" x14ac:dyDescent="0.3">
      <c r="B244" s="276" t="s">
        <v>459</v>
      </c>
      <c r="C244" s="265" t="s">
        <v>119</v>
      </c>
      <c r="D244" s="263" t="s">
        <v>157</v>
      </c>
      <c r="Q244" s="117" t="s">
        <v>332</v>
      </c>
      <c r="R244" s="108" t="s">
        <v>96</v>
      </c>
      <c r="S244" s="108" t="s">
        <v>336</v>
      </c>
      <c r="T244" s="109" t="s">
        <v>92</v>
      </c>
      <c r="U244" s="109" t="s">
        <v>93</v>
      </c>
      <c r="V244" s="109"/>
      <c r="W244" s="109"/>
      <c r="X244" s="109"/>
      <c r="Y244" s="109"/>
      <c r="Z244" s="109"/>
      <c r="AA244" s="109"/>
      <c r="AB244" s="109"/>
      <c r="AC244" s="123"/>
      <c r="AD244" s="110" t="s">
        <v>293</v>
      </c>
    </row>
    <row r="245" spans="2:30" ht="28.8" x14ac:dyDescent="0.3">
      <c r="B245" s="276" t="s">
        <v>459</v>
      </c>
      <c r="C245" s="270" t="s">
        <v>45</v>
      </c>
      <c r="D245" s="269" t="s">
        <v>158</v>
      </c>
      <c r="Q245" s="117" t="s">
        <v>332</v>
      </c>
      <c r="R245" s="108" t="s">
        <v>337</v>
      </c>
      <c r="S245" s="108" t="s">
        <v>330</v>
      </c>
      <c r="T245" s="109" t="s">
        <v>92</v>
      </c>
      <c r="U245" s="109" t="s">
        <v>93</v>
      </c>
      <c r="V245" s="109"/>
      <c r="W245" s="109"/>
      <c r="X245" s="109"/>
      <c r="Y245" s="109"/>
      <c r="Z245" s="109"/>
      <c r="AA245" s="109"/>
      <c r="AB245" s="109"/>
      <c r="AC245" s="123"/>
      <c r="AD245" s="110" t="s">
        <v>293</v>
      </c>
    </row>
    <row r="246" spans="2:30" ht="28.8" x14ac:dyDescent="0.3">
      <c r="B246" s="276" t="s">
        <v>455</v>
      </c>
      <c r="C246" s="265" t="s">
        <v>34</v>
      </c>
      <c r="D246" s="263" t="s">
        <v>489</v>
      </c>
      <c r="Q246" s="117" t="s">
        <v>332</v>
      </c>
      <c r="R246" s="108" t="s">
        <v>329</v>
      </c>
      <c r="S246" s="108" t="s">
        <v>338</v>
      </c>
      <c r="T246" s="109" t="s">
        <v>92</v>
      </c>
      <c r="U246" s="109" t="s">
        <v>93</v>
      </c>
      <c r="V246" s="109"/>
      <c r="W246" s="109"/>
      <c r="X246" s="109"/>
      <c r="Y246" s="109"/>
      <c r="Z246" s="109"/>
      <c r="AA246" s="109"/>
      <c r="AB246" s="109"/>
      <c r="AC246" s="123" t="s">
        <v>105</v>
      </c>
      <c r="AD246" s="110" t="s">
        <v>294</v>
      </c>
    </row>
    <row r="247" spans="2:30" ht="28.8" x14ac:dyDescent="0.3">
      <c r="B247" s="276" t="s">
        <v>455</v>
      </c>
      <c r="C247" s="265" t="s">
        <v>35</v>
      </c>
      <c r="D247" s="263" t="s">
        <v>490</v>
      </c>
      <c r="Q247" s="117" t="s">
        <v>332</v>
      </c>
      <c r="R247" s="108" t="s">
        <v>595</v>
      </c>
      <c r="S247" s="108" t="s">
        <v>594</v>
      </c>
      <c r="T247" s="109"/>
      <c r="U247" s="109" t="s">
        <v>110</v>
      </c>
      <c r="V247" s="109">
        <v>1</v>
      </c>
      <c r="W247" s="109" t="s">
        <v>111</v>
      </c>
      <c r="X247" s="109">
        <v>0</v>
      </c>
      <c r="Y247" s="111">
        <v>1</v>
      </c>
      <c r="Z247" s="111">
        <v>1</v>
      </c>
      <c r="AA247" s="109" t="s">
        <v>177</v>
      </c>
      <c r="AB247" s="109" t="s">
        <v>338</v>
      </c>
      <c r="AC247" s="123"/>
      <c r="AD247" s="110"/>
    </row>
    <row r="248" spans="2:30" ht="28.8" x14ac:dyDescent="0.3">
      <c r="B248" s="276" t="s">
        <v>455</v>
      </c>
      <c r="C248" s="265" t="s">
        <v>119</v>
      </c>
      <c r="D248" s="263" t="s">
        <v>491</v>
      </c>
      <c r="Q248" s="117" t="s">
        <v>332</v>
      </c>
      <c r="R248" s="124" t="s">
        <v>115</v>
      </c>
      <c r="S248" s="124" t="s">
        <v>7</v>
      </c>
      <c r="T248" s="111"/>
      <c r="U248" s="109" t="s">
        <v>110</v>
      </c>
      <c r="V248" s="111">
        <v>2</v>
      </c>
      <c r="W248" s="111" t="s">
        <v>111</v>
      </c>
      <c r="X248" s="111">
        <v>0</v>
      </c>
      <c r="Y248" s="111">
        <v>1</v>
      </c>
      <c r="Z248" s="111">
        <v>1</v>
      </c>
      <c r="AA248" s="111" t="s">
        <v>112</v>
      </c>
      <c r="AB248" s="109" t="s">
        <v>7</v>
      </c>
      <c r="AC248" s="126"/>
      <c r="AD248" s="127"/>
    </row>
    <row r="249" spans="2:30" ht="28.8" x14ac:dyDescent="0.3">
      <c r="B249" s="276" t="s">
        <v>455</v>
      </c>
      <c r="C249" s="270" t="s">
        <v>45</v>
      </c>
      <c r="D249" s="269" t="s">
        <v>492</v>
      </c>
      <c r="Q249" s="117" t="s">
        <v>332</v>
      </c>
      <c r="R249" s="108" t="s">
        <v>307</v>
      </c>
      <c r="S249" s="108" t="s">
        <v>307</v>
      </c>
      <c r="T249" s="109"/>
      <c r="U249" s="109" t="s">
        <v>110</v>
      </c>
      <c r="V249" s="109">
        <v>3</v>
      </c>
      <c r="W249" s="109" t="s">
        <v>111</v>
      </c>
      <c r="X249" s="109">
        <v>0</v>
      </c>
      <c r="Y249" s="111">
        <v>1</v>
      </c>
      <c r="Z249" s="111">
        <v>1</v>
      </c>
      <c r="AA249" s="109" t="s">
        <v>177</v>
      </c>
      <c r="AB249" s="109" t="s">
        <v>338</v>
      </c>
      <c r="AC249" s="123"/>
      <c r="AD249" s="110"/>
    </row>
    <row r="250" spans="2:30" x14ac:dyDescent="0.3">
      <c r="B250" s="276" t="s">
        <v>455</v>
      </c>
      <c r="C250" s="265" t="s">
        <v>215</v>
      </c>
      <c r="D250" s="264" t="s">
        <v>467</v>
      </c>
      <c r="Q250" s="153" t="s">
        <v>352</v>
      </c>
      <c r="R250" s="154" t="s">
        <v>34</v>
      </c>
      <c r="S250" s="154" t="s">
        <v>34</v>
      </c>
      <c r="T250" s="155"/>
      <c r="U250" s="155" t="s">
        <v>89</v>
      </c>
      <c r="V250" s="155">
        <v>1</v>
      </c>
      <c r="W250" s="155"/>
      <c r="X250" s="155"/>
      <c r="Y250" s="155"/>
      <c r="Z250" s="155"/>
      <c r="AA250" s="155"/>
      <c r="AB250" s="155"/>
      <c r="AC250" s="156"/>
      <c r="AD250" s="157"/>
    </row>
    <row r="251" spans="2:30" x14ac:dyDescent="0.3">
      <c r="B251" s="276" t="s">
        <v>455</v>
      </c>
      <c r="C251" s="265" t="s">
        <v>468</v>
      </c>
      <c r="D251" s="264" t="s">
        <v>467</v>
      </c>
      <c r="Q251" s="153" t="s">
        <v>352</v>
      </c>
      <c r="R251" s="154" t="s">
        <v>362</v>
      </c>
      <c r="S251" s="154" t="s">
        <v>363</v>
      </c>
      <c r="T251" s="155" t="s">
        <v>92</v>
      </c>
      <c r="U251" s="155" t="s">
        <v>93</v>
      </c>
      <c r="V251" s="155"/>
      <c r="W251" s="155"/>
      <c r="X251" s="155"/>
      <c r="Y251" s="155"/>
      <c r="Z251" s="155"/>
      <c r="AA251" s="155"/>
      <c r="AB251" s="155"/>
      <c r="AC251" s="156"/>
      <c r="AD251" s="157" t="s">
        <v>293</v>
      </c>
    </row>
    <row r="252" spans="2:30" ht="115.2" x14ac:dyDescent="0.3">
      <c r="B252" s="276" t="s">
        <v>455</v>
      </c>
      <c r="C252" s="278" t="s">
        <v>507</v>
      </c>
      <c r="D252" s="269" t="s">
        <v>493</v>
      </c>
      <c r="Q252" s="153" t="s">
        <v>352</v>
      </c>
      <c r="R252" s="154" t="s">
        <v>360</v>
      </c>
      <c r="S252" s="154" t="s">
        <v>361</v>
      </c>
      <c r="T252" s="155" t="s">
        <v>92</v>
      </c>
      <c r="U252" s="155" t="s">
        <v>93</v>
      </c>
      <c r="V252" s="155"/>
      <c r="W252" s="155"/>
      <c r="X252" s="155"/>
      <c r="Y252" s="155"/>
      <c r="Z252" s="155"/>
      <c r="AA252" s="155"/>
      <c r="AB252" s="155"/>
      <c r="AC252" s="156"/>
      <c r="AD252" s="157" t="s">
        <v>293</v>
      </c>
    </row>
    <row r="253" spans="2:30" ht="100.8" x14ac:dyDescent="0.3">
      <c r="B253" s="276" t="s">
        <v>455</v>
      </c>
      <c r="C253" s="278" t="s">
        <v>508</v>
      </c>
      <c r="D253" s="269" t="s">
        <v>494</v>
      </c>
      <c r="Q253" s="153" t="s">
        <v>352</v>
      </c>
      <c r="R253" s="154" t="s">
        <v>364</v>
      </c>
      <c r="S253" s="154" t="s">
        <v>356</v>
      </c>
      <c r="T253" s="155" t="s">
        <v>92</v>
      </c>
      <c r="U253" s="155" t="s">
        <v>93</v>
      </c>
      <c r="V253" s="155"/>
      <c r="W253" s="155"/>
      <c r="X253" s="155"/>
      <c r="Y253" s="155"/>
      <c r="Z253" s="155"/>
      <c r="AA253" s="155"/>
      <c r="AB253" s="155"/>
      <c r="AC253" s="156"/>
      <c r="AD253" s="157" t="s">
        <v>293</v>
      </c>
    </row>
    <row r="254" spans="2:30" ht="43.2" x14ac:dyDescent="0.3">
      <c r="B254" s="276" t="s">
        <v>455</v>
      </c>
      <c r="C254" s="278" t="s">
        <v>509</v>
      </c>
      <c r="D254" s="277" t="s">
        <v>510</v>
      </c>
      <c r="Q254" s="153" t="s">
        <v>352</v>
      </c>
      <c r="R254" s="154" t="s">
        <v>365</v>
      </c>
      <c r="S254" s="154" t="s">
        <v>357</v>
      </c>
      <c r="T254" s="155" t="s">
        <v>92</v>
      </c>
      <c r="U254" s="155" t="s">
        <v>93</v>
      </c>
      <c r="V254" s="155"/>
      <c r="W254" s="155"/>
      <c r="X254" s="155"/>
      <c r="Y254" s="155"/>
      <c r="Z254" s="155"/>
      <c r="AA254" s="155"/>
      <c r="AB254" s="155"/>
      <c r="AC254" s="156"/>
      <c r="AD254" s="157" t="s">
        <v>359</v>
      </c>
    </row>
    <row r="255" spans="2:30" ht="43.2" x14ac:dyDescent="0.3">
      <c r="B255" s="276" t="s">
        <v>455</v>
      </c>
      <c r="C255" s="278" t="s">
        <v>475</v>
      </c>
      <c r="D255" s="277" t="s">
        <v>511</v>
      </c>
      <c r="Q255" s="153" t="s">
        <v>352</v>
      </c>
      <c r="R255" s="154" t="s">
        <v>366</v>
      </c>
      <c r="S255" s="154" t="s">
        <v>367</v>
      </c>
      <c r="T255" s="155" t="s">
        <v>92</v>
      </c>
      <c r="U255" s="155" t="s">
        <v>93</v>
      </c>
      <c r="V255" s="155"/>
      <c r="W255" s="155"/>
      <c r="X255" s="155"/>
      <c r="Y255" s="155"/>
      <c r="Z255" s="155"/>
      <c r="AA255" s="155"/>
      <c r="AB255" s="155"/>
      <c r="AC255" s="156"/>
      <c r="AD255" s="157" t="s">
        <v>293</v>
      </c>
    </row>
    <row r="256" spans="2:30" ht="28.8" x14ac:dyDescent="0.3">
      <c r="B256" s="276" t="s">
        <v>455</v>
      </c>
      <c r="C256" s="278" t="s">
        <v>477</v>
      </c>
      <c r="D256" s="277" t="s">
        <v>512</v>
      </c>
      <c r="Q256" s="153" t="s">
        <v>352</v>
      </c>
      <c r="R256" s="154" t="s">
        <v>368</v>
      </c>
      <c r="S256" s="154" t="s">
        <v>369</v>
      </c>
      <c r="T256" s="155" t="s">
        <v>92</v>
      </c>
      <c r="U256" s="155" t="s">
        <v>93</v>
      </c>
      <c r="V256" s="155"/>
      <c r="W256" s="155"/>
      <c r="X256" s="155"/>
      <c r="Y256" s="155"/>
      <c r="Z256" s="155"/>
      <c r="AA256" s="155"/>
      <c r="AB256" s="155"/>
      <c r="AC256" s="156"/>
      <c r="AD256" s="157" t="s">
        <v>293</v>
      </c>
    </row>
    <row r="257" spans="2:30" ht="43.2" x14ac:dyDescent="0.3">
      <c r="B257" s="276" t="s">
        <v>455</v>
      </c>
      <c r="C257" s="278" t="s">
        <v>479</v>
      </c>
      <c r="D257" s="277" t="s">
        <v>513</v>
      </c>
      <c r="Q257" s="153" t="s">
        <v>352</v>
      </c>
      <c r="R257" s="154" t="s">
        <v>354</v>
      </c>
      <c r="S257" s="154" t="s">
        <v>355</v>
      </c>
      <c r="T257" s="155" t="s">
        <v>134</v>
      </c>
      <c r="U257" s="155" t="s">
        <v>93</v>
      </c>
      <c r="V257" s="155"/>
      <c r="W257" s="155"/>
      <c r="X257" s="155"/>
      <c r="Y257" s="155"/>
      <c r="Z257" s="155"/>
      <c r="AA257" s="155"/>
      <c r="AB257" s="155"/>
      <c r="AC257" s="156"/>
      <c r="AD257" s="157" t="s">
        <v>293</v>
      </c>
    </row>
    <row r="258" spans="2:30" ht="316.8" x14ac:dyDescent="0.3">
      <c r="B258" s="276" t="s">
        <v>455</v>
      </c>
      <c r="C258" s="278" t="s">
        <v>481</v>
      </c>
      <c r="D258" s="277" t="s">
        <v>559</v>
      </c>
      <c r="Q258" s="153" t="s">
        <v>352</v>
      </c>
      <c r="R258" s="154" t="s">
        <v>370</v>
      </c>
      <c r="S258" s="154" t="s">
        <v>371</v>
      </c>
      <c r="T258" s="155" t="s">
        <v>92</v>
      </c>
      <c r="U258" s="155" t="s">
        <v>93</v>
      </c>
      <c r="V258" s="155"/>
      <c r="W258" s="155"/>
      <c r="X258" s="155"/>
      <c r="Y258" s="155"/>
      <c r="Z258" s="155"/>
      <c r="AA258" s="155"/>
      <c r="AB258" s="155"/>
      <c r="AC258" s="156"/>
      <c r="AD258" s="157" t="s">
        <v>293</v>
      </c>
    </row>
    <row r="259" spans="2:30" ht="28.8" x14ac:dyDescent="0.3">
      <c r="B259" s="276" t="s">
        <v>456</v>
      </c>
      <c r="C259" s="265" t="s">
        <v>34</v>
      </c>
      <c r="D259" s="263" t="s">
        <v>489</v>
      </c>
      <c r="Q259" s="153" t="s">
        <v>352</v>
      </c>
      <c r="R259" s="158" t="s">
        <v>372</v>
      </c>
      <c r="S259" s="158" t="s">
        <v>373</v>
      </c>
      <c r="T259" s="159"/>
      <c r="U259" s="155" t="s">
        <v>110</v>
      </c>
      <c r="V259" s="159">
        <v>1</v>
      </c>
      <c r="W259" s="159" t="s">
        <v>111</v>
      </c>
      <c r="X259" s="159">
        <v>0</v>
      </c>
      <c r="Y259" s="159">
        <v>1</v>
      </c>
      <c r="Z259" s="159">
        <v>1</v>
      </c>
      <c r="AA259" s="159"/>
      <c r="AB259" s="159"/>
      <c r="AC259" s="160"/>
      <c r="AD259" s="161"/>
    </row>
    <row r="260" spans="2:30" ht="28.8" x14ac:dyDescent="0.3">
      <c r="B260" s="276" t="s">
        <v>456</v>
      </c>
      <c r="C260" s="265" t="s">
        <v>35</v>
      </c>
      <c r="D260" s="263" t="s">
        <v>490</v>
      </c>
      <c r="Q260" s="153" t="s">
        <v>352</v>
      </c>
      <c r="R260" s="158" t="s">
        <v>358</v>
      </c>
      <c r="S260" s="158" t="s">
        <v>358</v>
      </c>
      <c r="T260" s="159"/>
      <c r="U260" s="155" t="s">
        <v>110</v>
      </c>
      <c r="V260" s="159">
        <v>2</v>
      </c>
      <c r="W260" s="159" t="s">
        <v>111</v>
      </c>
      <c r="X260" s="159">
        <v>0</v>
      </c>
      <c r="Y260" s="159">
        <v>1</v>
      </c>
      <c r="Z260" s="159">
        <v>1</v>
      </c>
      <c r="AA260" s="159"/>
      <c r="AB260" s="159"/>
      <c r="AC260" s="160"/>
      <c r="AD260" s="161"/>
    </row>
    <row r="261" spans="2:30" ht="28.8" x14ac:dyDescent="0.3">
      <c r="B261" s="276" t="s">
        <v>456</v>
      </c>
      <c r="C261" s="265" t="s">
        <v>119</v>
      </c>
      <c r="D261" s="263" t="s">
        <v>491</v>
      </c>
      <c r="Q261" s="153" t="s">
        <v>352</v>
      </c>
      <c r="R261" s="158" t="s">
        <v>35</v>
      </c>
      <c r="S261" s="158" t="s">
        <v>35</v>
      </c>
      <c r="T261" s="159"/>
      <c r="U261" s="155" t="s">
        <v>110</v>
      </c>
      <c r="V261" s="159">
        <v>3</v>
      </c>
      <c r="W261" s="159" t="s">
        <v>111</v>
      </c>
      <c r="X261" s="159">
        <v>0</v>
      </c>
      <c r="Y261" s="159">
        <v>1</v>
      </c>
      <c r="Z261" s="159">
        <v>1</v>
      </c>
      <c r="AA261" s="159"/>
      <c r="AB261" s="159"/>
      <c r="AC261" s="160"/>
      <c r="AD261" s="161"/>
    </row>
    <row r="262" spans="2:30" ht="28.8" x14ac:dyDescent="0.3">
      <c r="B262" s="276" t="s">
        <v>456</v>
      </c>
      <c r="C262" s="270" t="s">
        <v>45</v>
      </c>
      <c r="D262" s="269" t="s">
        <v>492</v>
      </c>
      <c r="Q262" s="117" t="s">
        <v>399</v>
      </c>
      <c r="R262" s="108" t="s">
        <v>34</v>
      </c>
      <c r="S262" s="108" t="s">
        <v>34</v>
      </c>
      <c r="T262" s="109"/>
      <c r="U262" s="109" t="s">
        <v>89</v>
      </c>
      <c r="V262" s="109">
        <v>1</v>
      </c>
      <c r="W262" s="109"/>
      <c r="X262" s="109"/>
      <c r="Y262" s="109"/>
      <c r="Z262" s="109"/>
      <c r="AA262" s="109"/>
      <c r="AB262" s="109"/>
      <c r="AC262" s="123"/>
      <c r="AD262" s="110"/>
    </row>
    <row r="263" spans="2:30" ht="28.8" x14ac:dyDescent="0.3">
      <c r="B263" s="276" t="s">
        <v>456</v>
      </c>
      <c r="C263" s="265" t="s">
        <v>215</v>
      </c>
      <c r="D263" s="264" t="s">
        <v>467</v>
      </c>
      <c r="Q263" s="117" t="s">
        <v>399</v>
      </c>
      <c r="R263" s="108" t="s">
        <v>401</v>
      </c>
      <c r="S263" s="108" t="s">
        <v>402</v>
      </c>
      <c r="T263" s="109" t="s">
        <v>134</v>
      </c>
      <c r="U263" s="109" t="s">
        <v>93</v>
      </c>
      <c r="V263" s="109"/>
      <c r="W263" s="109"/>
      <c r="X263" s="109"/>
      <c r="Y263" s="109"/>
      <c r="Z263" s="109"/>
      <c r="AA263" s="109"/>
      <c r="AB263" s="109"/>
      <c r="AC263" s="123"/>
      <c r="AD263" s="110" t="s">
        <v>293</v>
      </c>
    </row>
    <row r="264" spans="2:30" x14ac:dyDescent="0.3">
      <c r="B264" s="276" t="s">
        <v>456</v>
      </c>
      <c r="C264" s="265" t="s">
        <v>468</v>
      </c>
      <c r="D264" s="264" t="s">
        <v>467</v>
      </c>
      <c r="Q264" s="117" t="s">
        <v>399</v>
      </c>
      <c r="R264" s="108" t="s">
        <v>403</v>
      </c>
      <c r="S264" s="108" t="s">
        <v>404</v>
      </c>
      <c r="T264" s="109" t="s">
        <v>92</v>
      </c>
      <c r="U264" s="109" t="s">
        <v>93</v>
      </c>
      <c r="V264" s="109"/>
      <c r="W264" s="109"/>
      <c r="X264" s="109"/>
      <c r="Y264" s="109"/>
      <c r="Z264" s="109"/>
      <c r="AA264" s="109"/>
      <c r="AB264" s="109"/>
      <c r="AC264" s="123"/>
      <c r="AD264" s="110" t="s">
        <v>293</v>
      </c>
    </row>
    <row r="265" spans="2:30" ht="115.2" x14ac:dyDescent="0.3">
      <c r="B265" s="276" t="s">
        <v>456</v>
      </c>
      <c r="C265" s="278" t="s">
        <v>507</v>
      </c>
      <c r="D265" s="269" t="s">
        <v>495</v>
      </c>
      <c r="Q265" s="117" t="s">
        <v>399</v>
      </c>
      <c r="R265" s="108" t="s">
        <v>405</v>
      </c>
      <c r="S265" s="108" t="s">
        <v>406</v>
      </c>
      <c r="T265" s="109" t="s">
        <v>92</v>
      </c>
      <c r="U265" s="109" t="s">
        <v>93</v>
      </c>
      <c r="V265" s="109"/>
      <c r="W265" s="109"/>
      <c r="X265" s="109"/>
      <c r="Y265" s="109"/>
      <c r="Z265" s="109"/>
      <c r="AA265" s="109"/>
      <c r="AB265" s="109"/>
      <c r="AC265" s="123"/>
      <c r="AD265" s="110" t="s">
        <v>293</v>
      </c>
    </row>
    <row r="266" spans="2:30" ht="100.8" x14ac:dyDescent="0.3">
      <c r="B266" s="276" t="s">
        <v>456</v>
      </c>
      <c r="C266" s="278" t="s">
        <v>508</v>
      </c>
      <c r="D266" s="269" t="s">
        <v>496</v>
      </c>
      <c r="Q266" s="117" t="s">
        <v>399</v>
      </c>
      <c r="R266" s="108" t="s">
        <v>407</v>
      </c>
      <c r="S266" s="108" t="s">
        <v>408</v>
      </c>
      <c r="T266" s="109" t="s">
        <v>92</v>
      </c>
      <c r="U266" s="109" t="s">
        <v>93</v>
      </c>
      <c r="V266" s="109"/>
      <c r="W266" s="109"/>
      <c r="X266" s="109"/>
      <c r="Y266" s="109"/>
      <c r="Z266" s="109"/>
      <c r="AA266" s="109"/>
      <c r="AB266" s="109"/>
      <c r="AC266" s="123"/>
      <c r="AD266" s="110" t="s">
        <v>293</v>
      </c>
    </row>
    <row r="267" spans="2:30" ht="43.2" x14ac:dyDescent="0.3">
      <c r="B267" s="276" t="s">
        <v>456</v>
      </c>
      <c r="C267" s="278" t="s">
        <v>509</v>
      </c>
      <c r="D267" s="277" t="s">
        <v>510</v>
      </c>
      <c r="Q267" s="117" t="s">
        <v>399</v>
      </c>
      <c r="R267" s="108" t="s">
        <v>409</v>
      </c>
      <c r="S267" s="108" t="s">
        <v>410</v>
      </c>
      <c r="T267" s="109" t="s">
        <v>92</v>
      </c>
      <c r="U267" s="109" t="s">
        <v>93</v>
      </c>
      <c r="V267" s="109"/>
      <c r="W267" s="109"/>
      <c r="X267" s="109"/>
      <c r="Y267" s="109"/>
      <c r="Z267" s="109"/>
      <c r="AA267" s="109"/>
      <c r="AB267" s="109"/>
      <c r="AC267" s="123"/>
      <c r="AD267" s="110" t="s">
        <v>293</v>
      </c>
    </row>
    <row r="268" spans="2:30" ht="43.2" x14ac:dyDescent="0.3">
      <c r="B268" s="276" t="s">
        <v>456</v>
      </c>
      <c r="C268" s="278" t="s">
        <v>475</v>
      </c>
      <c r="D268" s="277" t="s">
        <v>514</v>
      </c>
      <c r="Q268" s="117" t="s">
        <v>399</v>
      </c>
      <c r="R268" s="108" t="s">
        <v>409</v>
      </c>
      <c r="S268" s="108" t="s">
        <v>338</v>
      </c>
      <c r="T268" s="109" t="s">
        <v>92</v>
      </c>
      <c r="U268" s="109" t="s">
        <v>93</v>
      </c>
      <c r="V268" s="109"/>
      <c r="W268" s="109"/>
      <c r="X268" s="109"/>
      <c r="Y268" s="109"/>
      <c r="Z268" s="109"/>
      <c r="AA268" s="109"/>
      <c r="AB268" s="109"/>
      <c r="AC268" s="123" t="s">
        <v>105</v>
      </c>
      <c r="AD268" s="110" t="s">
        <v>294</v>
      </c>
    </row>
    <row r="269" spans="2:30" ht="28.8" x14ac:dyDescent="0.3">
      <c r="B269" s="276" t="s">
        <v>456</v>
      </c>
      <c r="C269" s="278" t="s">
        <v>477</v>
      </c>
      <c r="D269" s="277" t="s">
        <v>512</v>
      </c>
      <c r="Q269" s="117" t="s">
        <v>399</v>
      </c>
      <c r="R269" s="108" t="s">
        <v>411</v>
      </c>
      <c r="S269" s="108" t="s">
        <v>411</v>
      </c>
      <c r="T269" s="109"/>
      <c r="U269" s="109" t="s">
        <v>110</v>
      </c>
      <c r="V269" s="109">
        <v>1</v>
      </c>
      <c r="W269" s="109" t="s">
        <v>111</v>
      </c>
      <c r="X269" s="109">
        <v>0</v>
      </c>
      <c r="Y269" s="109">
        <v>1</v>
      </c>
      <c r="Z269" s="109">
        <v>1</v>
      </c>
      <c r="AA269" s="111" t="s">
        <v>177</v>
      </c>
      <c r="AB269" s="111" t="s">
        <v>338</v>
      </c>
      <c r="AC269" s="123"/>
      <c r="AD269" s="110"/>
    </row>
    <row r="270" spans="2:30" ht="43.2" x14ac:dyDescent="0.3">
      <c r="B270" s="276" t="s">
        <v>456</v>
      </c>
      <c r="C270" s="278" t="s">
        <v>479</v>
      </c>
      <c r="D270" s="277" t="s">
        <v>515</v>
      </c>
      <c r="Q270" s="117" t="s">
        <v>399</v>
      </c>
      <c r="R270" s="108" t="s">
        <v>412</v>
      </c>
      <c r="S270" s="108" t="s">
        <v>413</v>
      </c>
      <c r="T270" s="111"/>
      <c r="U270" s="111" t="s">
        <v>110</v>
      </c>
      <c r="V270" s="111">
        <v>2</v>
      </c>
      <c r="W270" s="111" t="s">
        <v>111</v>
      </c>
      <c r="X270" s="111">
        <v>0</v>
      </c>
      <c r="Y270" s="111">
        <v>0</v>
      </c>
      <c r="Z270" s="111">
        <v>0</v>
      </c>
      <c r="AA270" s="111" t="s">
        <v>177</v>
      </c>
      <c r="AB270" s="111" t="s">
        <v>338</v>
      </c>
      <c r="AC270" s="126"/>
      <c r="AD270" s="127"/>
    </row>
    <row r="271" spans="2:30" ht="316.8" x14ac:dyDescent="0.3">
      <c r="B271" s="276" t="s">
        <v>456</v>
      </c>
      <c r="C271" s="278" t="s">
        <v>481</v>
      </c>
      <c r="D271" s="277" t="s">
        <v>559</v>
      </c>
      <c r="Q271" s="153" t="s">
        <v>417</v>
      </c>
      <c r="R271" s="154" t="s">
        <v>34</v>
      </c>
      <c r="S271" s="154" t="s">
        <v>34</v>
      </c>
      <c r="T271" s="155"/>
      <c r="U271" s="155" t="s">
        <v>89</v>
      </c>
      <c r="V271" s="155">
        <v>1</v>
      </c>
      <c r="W271" s="155"/>
      <c r="X271" s="155"/>
      <c r="Y271" s="155"/>
      <c r="Z271" s="155"/>
      <c r="AA271" s="155"/>
      <c r="AB271" s="155"/>
      <c r="AC271" s="156"/>
      <c r="AD271" s="157"/>
    </row>
    <row r="272" spans="2:30" x14ac:dyDescent="0.3">
      <c r="B272" s="276" t="s">
        <v>455</v>
      </c>
      <c r="C272" s="265" t="s">
        <v>342</v>
      </c>
      <c r="D272" s="262" t="s">
        <v>516</v>
      </c>
      <c r="Q272" s="153" t="s">
        <v>417</v>
      </c>
      <c r="R272" s="154" t="s">
        <v>269</v>
      </c>
      <c r="S272" s="154" t="s">
        <v>355</v>
      </c>
      <c r="T272" s="155" t="s">
        <v>134</v>
      </c>
      <c r="U272" s="155" t="s">
        <v>93</v>
      </c>
      <c r="V272" s="155"/>
      <c r="W272" s="155"/>
      <c r="X272" s="155"/>
      <c r="Y272" s="155"/>
      <c r="Z272" s="155"/>
      <c r="AA272" s="155"/>
      <c r="AB272" s="155"/>
      <c r="AC272" s="156"/>
      <c r="AD272" s="157" t="s">
        <v>293</v>
      </c>
    </row>
    <row r="273" spans="2:30" x14ac:dyDescent="0.3">
      <c r="B273" s="276" t="s">
        <v>456</v>
      </c>
      <c r="C273" s="270" t="s">
        <v>342</v>
      </c>
      <c r="D273" s="279" t="s">
        <v>516</v>
      </c>
      <c r="Q273" s="153" t="s">
        <v>417</v>
      </c>
      <c r="R273" s="154" t="s">
        <v>357</v>
      </c>
      <c r="S273" s="154" t="s">
        <v>243</v>
      </c>
      <c r="T273" s="155" t="s">
        <v>92</v>
      </c>
      <c r="U273" s="155" t="s">
        <v>93</v>
      </c>
      <c r="V273" s="155"/>
      <c r="W273" s="155"/>
      <c r="X273" s="155"/>
      <c r="Y273" s="155"/>
      <c r="Z273" s="155"/>
      <c r="AA273" s="155"/>
      <c r="AB273" s="155"/>
      <c r="AC273" s="156"/>
      <c r="AD273" s="157" t="s">
        <v>293</v>
      </c>
    </row>
    <row r="274" spans="2:30" ht="28.8" x14ac:dyDescent="0.3">
      <c r="B274" s="276" t="s">
        <v>553</v>
      </c>
      <c r="C274" s="265" t="s">
        <v>34</v>
      </c>
      <c r="D274" s="263" t="s">
        <v>156</v>
      </c>
      <c r="Q274" s="153" t="s">
        <v>417</v>
      </c>
      <c r="R274" s="154" t="s">
        <v>357</v>
      </c>
      <c r="S274" s="154" t="s">
        <v>338</v>
      </c>
      <c r="T274" s="155" t="s">
        <v>92</v>
      </c>
      <c r="U274" s="155" t="s">
        <v>93</v>
      </c>
      <c r="V274" s="155"/>
      <c r="W274" s="155"/>
      <c r="X274" s="155"/>
      <c r="Y274" s="155"/>
      <c r="Z274" s="155"/>
      <c r="AA274" s="155"/>
      <c r="AB274" s="155"/>
      <c r="AC274" s="156" t="s">
        <v>105</v>
      </c>
      <c r="AD274" s="157" t="s">
        <v>294</v>
      </c>
    </row>
    <row r="275" spans="2:30" ht="28.8" x14ac:dyDescent="0.3">
      <c r="B275" s="276" t="s">
        <v>553</v>
      </c>
      <c r="C275" s="265" t="s">
        <v>35</v>
      </c>
      <c r="D275" s="263" t="s">
        <v>159</v>
      </c>
      <c r="Q275" s="153" t="s">
        <v>417</v>
      </c>
      <c r="R275" s="154" t="s">
        <v>35</v>
      </c>
      <c r="S275" s="154" t="s">
        <v>35</v>
      </c>
      <c r="T275" s="155"/>
      <c r="U275" s="155" t="s">
        <v>110</v>
      </c>
      <c r="V275" s="155">
        <v>1</v>
      </c>
      <c r="W275" s="155" t="s">
        <v>111</v>
      </c>
      <c r="X275" s="155">
        <v>0</v>
      </c>
      <c r="Y275" s="155">
        <v>1</v>
      </c>
      <c r="Z275" s="155">
        <v>1</v>
      </c>
      <c r="AA275" s="159" t="s">
        <v>112</v>
      </c>
      <c r="AB275" s="159" t="s">
        <v>35</v>
      </c>
      <c r="AC275" s="156"/>
      <c r="AD275" s="157"/>
    </row>
    <row r="276" spans="2:30" ht="28.8" x14ac:dyDescent="0.3">
      <c r="B276" s="276" t="s">
        <v>553</v>
      </c>
      <c r="C276" s="265" t="s">
        <v>119</v>
      </c>
      <c r="D276" s="263" t="s">
        <v>157</v>
      </c>
      <c r="Q276" s="153" t="s">
        <v>417</v>
      </c>
      <c r="R276" s="158" t="s">
        <v>45</v>
      </c>
      <c r="S276" s="158" t="s">
        <v>45</v>
      </c>
      <c r="T276" s="159"/>
      <c r="U276" s="159" t="s">
        <v>110</v>
      </c>
      <c r="V276" s="159">
        <v>2</v>
      </c>
      <c r="W276" s="159" t="s">
        <v>111</v>
      </c>
      <c r="X276" s="159">
        <v>0</v>
      </c>
      <c r="Y276" s="159">
        <v>0</v>
      </c>
      <c r="Z276" s="159">
        <v>0</v>
      </c>
      <c r="AA276" s="159" t="s">
        <v>112</v>
      </c>
      <c r="AB276" s="159" t="s">
        <v>45</v>
      </c>
      <c r="AC276" s="160"/>
      <c r="AD276" s="161"/>
    </row>
    <row r="277" spans="2:30" ht="28.8" x14ac:dyDescent="0.3">
      <c r="B277" s="276" t="s">
        <v>553</v>
      </c>
      <c r="C277" s="270" t="s">
        <v>45</v>
      </c>
      <c r="D277" s="269" t="s">
        <v>158</v>
      </c>
      <c r="Q277" s="117" t="s">
        <v>498</v>
      </c>
      <c r="R277" s="108" t="s">
        <v>34</v>
      </c>
      <c r="S277" s="108" t="s">
        <v>34</v>
      </c>
      <c r="T277" s="109"/>
      <c r="U277" s="109" t="s">
        <v>89</v>
      </c>
      <c r="V277" s="109">
        <v>1</v>
      </c>
      <c r="W277" s="109"/>
      <c r="X277" s="109"/>
      <c r="Y277" s="109"/>
      <c r="Z277" s="109"/>
      <c r="AA277" s="109"/>
      <c r="AB277" s="109"/>
      <c r="AC277" s="123"/>
      <c r="AD277" s="110"/>
    </row>
    <row r="278" spans="2:30" ht="28.8" x14ac:dyDescent="0.3">
      <c r="B278" s="276" t="s">
        <v>553</v>
      </c>
      <c r="C278" s="265" t="s">
        <v>215</v>
      </c>
      <c r="D278" s="263" t="s">
        <v>467</v>
      </c>
      <c r="Q278" s="117" t="s">
        <v>498</v>
      </c>
      <c r="R278" s="124" t="s">
        <v>504</v>
      </c>
      <c r="S278" s="108" t="s">
        <v>292</v>
      </c>
      <c r="T278" s="109" t="s">
        <v>134</v>
      </c>
      <c r="U278" s="109" t="s">
        <v>93</v>
      </c>
      <c r="V278" s="109"/>
      <c r="W278" s="109"/>
      <c r="X278" s="109"/>
      <c r="Y278" s="109"/>
      <c r="Z278" s="109"/>
      <c r="AA278" s="109"/>
      <c r="AB278" s="109"/>
      <c r="AC278" s="123"/>
      <c r="AD278" s="110" t="s">
        <v>293</v>
      </c>
    </row>
    <row r="279" spans="2:30" ht="28.8" x14ac:dyDescent="0.3">
      <c r="B279" s="276" t="s">
        <v>553</v>
      </c>
      <c r="C279" s="265" t="s">
        <v>468</v>
      </c>
      <c r="D279" s="263" t="s">
        <v>467</v>
      </c>
      <c r="Q279" s="117" t="s">
        <v>498</v>
      </c>
      <c r="R279" s="108" t="s">
        <v>475</v>
      </c>
      <c r="S279" s="108" t="s">
        <v>501</v>
      </c>
      <c r="T279" s="109" t="s">
        <v>92</v>
      </c>
      <c r="U279" s="109" t="s">
        <v>93</v>
      </c>
      <c r="V279" s="109"/>
      <c r="W279" s="109"/>
      <c r="X279" s="109"/>
      <c r="Y279" s="109"/>
      <c r="Z279" s="109"/>
      <c r="AA279" s="109"/>
      <c r="AB279" s="109"/>
      <c r="AC279" s="123"/>
      <c r="AD279" s="110" t="s">
        <v>293</v>
      </c>
    </row>
    <row r="280" spans="2:30" ht="43.2" x14ac:dyDescent="0.3">
      <c r="B280" s="276" t="s">
        <v>553</v>
      </c>
      <c r="C280" s="278" t="s">
        <v>504</v>
      </c>
      <c r="D280" s="277" t="s">
        <v>534</v>
      </c>
      <c r="Q280" s="117" t="s">
        <v>498</v>
      </c>
      <c r="R280" s="108" t="s">
        <v>477</v>
      </c>
      <c r="S280" s="108" t="s">
        <v>502</v>
      </c>
      <c r="T280" s="109" t="s">
        <v>92</v>
      </c>
      <c r="U280" s="109" t="s">
        <v>93</v>
      </c>
      <c r="V280" s="109"/>
      <c r="W280" s="109"/>
      <c r="X280" s="109"/>
      <c r="Y280" s="109"/>
      <c r="Z280" s="109"/>
      <c r="AA280" s="109"/>
      <c r="AB280" s="109"/>
      <c r="AC280" s="123"/>
      <c r="AD280" s="110" t="s">
        <v>293</v>
      </c>
    </row>
    <row r="281" spans="2:30" ht="72" x14ac:dyDescent="0.3">
      <c r="B281" s="276" t="s">
        <v>553</v>
      </c>
      <c r="C281" s="278" t="s">
        <v>8</v>
      </c>
      <c r="D281" s="277" t="s">
        <v>556</v>
      </c>
      <c r="Q281" s="117" t="s">
        <v>498</v>
      </c>
      <c r="R281" s="108" t="s">
        <v>479</v>
      </c>
      <c r="S281" s="108" t="s">
        <v>503</v>
      </c>
      <c r="T281" s="109" t="s">
        <v>92</v>
      </c>
      <c r="U281" s="109" t="s">
        <v>93</v>
      </c>
      <c r="V281" s="109"/>
      <c r="W281" s="109"/>
      <c r="X281" s="109"/>
      <c r="Y281" s="109"/>
      <c r="Z281" s="109"/>
      <c r="AA281" s="109"/>
      <c r="AB281" s="109"/>
      <c r="AC281" s="123"/>
      <c r="AD281" s="110" t="s">
        <v>293</v>
      </c>
    </row>
    <row r="282" spans="2:30" ht="86.4" x14ac:dyDescent="0.3">
      <c r="B282" s="276" t="s">
        <v>553</v>
      </c>
      <c r="C282" s="278" t="s">
        <v>535</v>
      </c>
      <c r="D282" s="277" t="s">
        <v>536</v>
      </c>
      <c r="Q282" s="117" t="s">
        <v>498</v>
      </c>
      <c r="R282" s="108" t="s">
        <v>479</v>
      </c>
      <c r="S282" s="108" t="s">
        <v>338</v>
      </c>
      <c r="T282" s="109" t="s">
        <v>92</v>
      </c>
      <c r="U282" s="109" t="s">
        <v>93</v>
      </c>
      <c r="V282" s="109"/>
      <c r="W282" s="109"/>
      <c r="X282" s="109"/>
      <c r="Y282" s="109"/>
      <c r="Z282" s="109"/>
      <c r="AA282" s="109"/>
      <c r="AB282" s="109"/>
      <c r="AC282" s="123" t="s">
        <v>105</v>
      </c>
      <c r="AD282" s="110" t="s">
        <v>294</v>
      </c>
    </row>
    <row r="283" spans="2:30" ht="129.6" x14ac:dyDescent="0.3">
      <c r="B283" s="276" t="s">
        <v>553</v>
      </c>
      <c r="C283" s="278" t="s">
        <v>537</v>
      </c>
      <c r="D283" s="277" t="s">
        <v>538</v>
      </c>
      <c r="Q283" s="117" t="s">
        <v>498</v>
      </c>
      <c r="R283" s="124" t="s">
        <v>481</v>
      </c>
      <c r="S283" s="124" t="s">
        <v>481</v>
      </c>
      <c r="T283" s="111"/>
      <c r="U283" s="111" t="s">
        <v>110</v>
      </c>
      <c r="V283" s="111">
        <v>1</v>
      </c>
      <c r="W283" s="111" t="s">
        <v>111</v>
      </c>
      <c r="X283" s="111">
        <v>0</v>
      </c>
      <c r="Y283" s="111">
        <v>1</v>
      </c>
      <c r="Z283" s="111">
        <v>1</v>
      </c>
      <c r="AA283" s="111" t="s">
        <v>177</v>
      </c>
      <c r="AB283" s="111" t="s">
        <v>338</v>
      </c>
      <c r="AC283" s="126"/>
      <c r="AD283" s="127"/>
    </row>
    <row r="284" spans="2:30" ht="115.2" x14ac:dyDescent="0.3">
      <c r="B284" s="276" t="s">
        <v>553</v>
      </c>
      <c r="C284" s="278" t="s">
        <v>539</v>
      </c>
      <c r="D284" s="277" t="s">
        <v>540</v>
      </c>
      <c r="Q284" s="117" t="s">
        <v>498</v>
      </c>
      <c r="R284" s="124" t="s">
        <v>35</v>
      </c>
      <c r="S284" s="124" t="s">
        <v>36</v>
      </c>
      <c r="T284" s="111"/>
      <c r="U284" s="111" t="s">
        <v>110</v>
      </c>
      <c r="V284" s="111">
        <v>2</v>
      </c>
      <c r="W284" s="111" t="s">
        <v>111</v>
      </c>
      <c r="X284" s="111">
        <v>0</v>
      </c>
      <c r="Y284" s="111">
        <v>1</v>
      </c>
      <c r="Z284" s="111">
        <v>1</v>
      </c>
      <c r="AA284" s="111" t="s">
        <v>177</v>
      </c>
      <c r="AB284" s="111" t="s">
        <v>338</v>
      </c>
      <c r="AC284" s="126"/>
      <c r="AD284" s="127"/>
    </row>
    <row r="285" spans="2:30" ht="100.8" x14ac:dyDescent="0.3">
      <c r="B285" s="276" t="s">
        <v>553</v>
      </c>
      <c r="C285" s="278" t="s">
        <v>541</v>
      </c>
      <c r="D285" s="277" t="s">
        <v>542</v>
      </c>
      <c r="Q285" s="117" t="s">
        <v>498</v>
      </c>
      <c r="R285" s="124" t="s">
        <v>98</v>
      </c>
      <c r="S285" s="124" t="s">
        <v>98</v>
      </c>
      <c r="T285" s="111"/>
      <c r="U285" s="111" t="s">
        <v>110</v>
      </c>
      <c r="V285" s="111">
        <v>3</v>
      </c>
      <c r="W285" s="111" t="s">
        <v>185</v>
      </c>
      <c r="X285" s="111">
        <v>0</v>
      </c>
      <c r="Y285" s="111">
        <v>0</v>
      </c>
      <c r="Z285" s="111">
        <v>0</v>
      </c>
      <c r="AA285" s="111" t="s">
        <v>177</v>
      </c>
      <c r="AB285" s="111" t="s">
        <v>338</v>
      </c>
      <c r="AC285" s="126"/>
      <c r="AD285" s="127"/>
    </row>
    <row r="286" spans="2:30" ht="129.6" x14ac:dyDescent="0.3">
      <c r="B286" s="276" t="s">
        <v>553</v>
      </c>
      <c r="C286" s="278" t="s">
        <v>507</v>
      </c>
      <c r="D286" s="277" t="s">
        <v>543</v>
      </c>
      <c r="Q286" s="117" t="s">
        <v>498</v>
      </c>
      <c r="R286" s="124" t="s">
        <v>102</v>
      </c>
      <c r="S286" s="124" t="s">
        <v>102</v>
      </c>
      <c r="T286" s="111"/>
      <c r="U286" s="111" t="s">
        <v>110</v>
      </c>
      <c r="V286" s="111">
        <v>4</v>
      </c>
      <c r="W286" s="111" t="s">
        <v>111</v>
      </c>
      <c r="X286" s="111">
        <v>0</v>
      </c>
      <c r="Y286" s="111">
        <v>1</v>
      </c>
      <c r="Z286" s="111">
        <v>1</v>
      </c>
      <c r="AA286" s="111" t="s">
        <v>177</v>
      </c>
      <c r="AB286" s="111" t="s">
        <v>338</v>
      </c>
      <c r="AC286" s="126"/>
      <c r="AD286" s="127"/>
    </row>
    <row r="287" spans="2:30" ht="115.2" x14ac:dyDescent="0.3">
      <c r="B287" s="276" t="s">
        <v>553</v>
      </c>
      <c r="C287" s="278" t="s">
        <v>508</v>
      </c>
      <c r="D287" s="277" t="s">
        <v>544</v>
      </c>
      <c r="Q287" s="153" t="s">
        <v>500</v>
      </c>
      <c r="R287" s="154" t="s">
        <v>34</v>
      </c>
      <c r="S287" s="154" t="s">
        <v>34</v>
      </c>
      <c r="T287" s="155"/>
      <c r="U287" s="155" t="s">
        <v>89</v>
      </c>
      <c r="V287" s="155">
        <v>1</v>
      </c>
      <c r="W287" s="155"/>
      <c r="X287" s="155"/>
      <c r="Y287" s="155"/>
      <c r="Z287" s="155"/>
      <c r="AA287" s="155"/>
      <c r="AB287" s="155"/>
      <c r="AC287" s="156"/>
      <c r="AD287" s="157"/>
    </row>
    <row r="288" spans="2:30" ht="43.2" x14ac:dyDescent="0.3">
      <c r="B288" s="276" t="s">
        <v>553</v>
      </c>
      <c r="C288" s="278" t="s">
        <v>509</v>
      </c>
      <c r="D288" s="277" t="s">
        <v>510</v>
      </c>
      <c r="Q288" s="153" t="s">
        <v>500</v>
      </c>
      <c r="R288" s="158" t="s">
        <v>504</v>
      </c>
      <c r="S288" s="154" t="s">
        <v>292</v>
      </c>
      <c r="T288" s="155" t="s">
        <v>134</v>
      </c>
      <c r="U288" s="155" t="s">
        <v>93</v>
      </c>
      <c r="V288" s="155"/>
      <c r="W288" s="155"/>
      <c r="X288" s="155"/>
      <c r="Y288" s="155"/>
      <c r="Z288" s="155"/>
      <c r="AA288" s="155"/>
      <c r="AB288" s="155"/>
      <c r="AC288" s="156"/>
      <c r="AD288" s="157" t="s">
        <v>293</v>
      </c>
    </row>
    <row r="289" spans="2:30" ht="57.6" x14ac:dyDescent="0.3">
      <c r="B289" s="276" t="s">
        <v>553</v>
      </c>
      <c r="C289" s="278" t="s">
        <v>475</v>
      </c>
      <c r="D289" s="277" t="s">
        <v>545</v>
      </c>
      <c r="Q289" s="153" t="s">
        <v>500</v>
      </c>
      <c r="R289" s="154" t="s">
        <v>475</v>
      </c>
      <c r="S289" s="154" t="s">
        <v>501</v>
      </c>
      <c r="T289" s="155" t="s">
        <v>92</v>
      </c>
      <c r="U289" s="155" t="s">
        <v>93</v>
      </c>
      <c r="V289" s="155"/>
      <c r="W289" s="155"/>
      <c r="X289" s="155"/>
      <c r="Y289" s="155"/>
      <c r="Z289" s="155"/>
      <c r="AA289" s="155"/>
      <c r="AB289" s="155"/>
      <c r="AC289" s="156"/>
      <c r="AD289" s="157" t="s">
        <v>293</v>
      </c>
    </row>
    <row r="290" spans="2:30" ht="129.6" x14ac:dyDescent="0.3">
      <c r="B290" s="276" t="s">
        <v>553</v>
      </c>
      <c r="C290" s="278" t="s">
        <v>477</v>
      </c>
      <c r="D290" s="277" t="s">
        <v>557</v>
      </c>
      <c r="Q290" s="153" t="s">
        <v>500</v>
      </c>
      <c r="R290" s="154" t="s">
        <v>477</v>
      </c>
      <c r="S290" s="154" t="s">
        <v>502</v>
      </c>
      <c r="T290" s="155" t="s">
        <v>92</v>
      </c>
      <c r="U290" s="155" t="s">
        <v>93</v>
      </c>
      <c r="V290" s="155"/>
      <c r="W290" s="155"/>
      <c r="X290" s="155"/>
      <c r="Y290" s="155"/>
      <c r="Z290" s="155"/>
      <c r="AA290" s="155"/>
      <c r="AB290" s="155"/>
      <c r="AC290" s="156"/>
      <c r="AD290" s="157" t="s">
        <v>293</v>
      </c>
    </row>
    <row r="291" spans="2:30" ht="57.6" x14ac:dyDescent="0.3">
      <c r="B291" s="276" t="s">
        <v>553</v>
      </c>
      <c r="C291" s="278" t="s">
        <v>479</v>
      </c>
      <c r="D291" s="277" t="s">
        <v>546</v>
      </c>
      <c r="Q291" s="153" t="s">
        <v>500</v>
      </c>
      <c r="R291" s="154" t="s">
        <v>479</v>
      </c>
      <c r="S291" s="154" t="s">
        <v>503</v>
      </c>
      <c r="T291" s="155" t="s">
        <v>92</v>
      </c>
      <c r="U291" s="155" t="s">
        <v>93</v>
      </c>
      <c r="V291" s="155"/>
      <c r="W291" s="155"/>
      <c r="X291" s="155"/>
      <c r="Y291" s="155"/>
      <c r="Z291" s="155"/>
      <c r="AA291" s="155"/>
      <c r="AB291" s="155"/>
      <c r="AC291" s="156"/>
      <c r="AD291" s="157" t="s">
        <v>293</v>
      </c>
    </row>
    <row r="292" spans="2:30" ht="345.6" x14ac:dyDescent="0.3">
      <c r="B292" s="276" t="s">
        <v>553</v>
      </c>
      <c r="C292" s="278" t="s">
        <v>481</v>
      </c>
      <c r="D292" s="277" t="s">
        <v>560</v>
      </c>
      <c r="Q292" s="153" t="s">
        <v>500</v>
      </c>
      <c r="R292" s="154" t="s">
        <v>479</v>
      </c>
      <c r="S292" s="154" t="s">
        <v>338</v>
      </c>
      <c r="T292" s="155" t="s">
        <v>92</v>
      </c>
      <c r="U292" s="155" t="s">
        <v>93</v>
      </c>
      <c r="V292" s="155"/>
      <c r="W292" s="155"/>
      <c r="X292" s="155"/>
      <c r="Y292" s="155"/>
      <c r="Z292" s="155"/>
      <c r="AA292" s="155"/>
      <c r="AB292" s="155"/>
      <c r="AC292" s="156" t="s">
        <v>105</v>
      </c>
      <c r="AD292" s="157" t="s">
        <v>294</v>
      </c>
    </row>
    <row r="293" spans="2:30" ht="43.2" x14ac:dyDescent="0.3">
      <c r="B293" s="276" t="s">
        <v>553</v>
      </c>
      <c r="C293" s="270" t="s">
        <v>547</v>
      </c>
      <c r="D293" s="269" t="s">
        <v>548</v>
      </c>
      <c r="Q293" s="153" t="s">
        <v>500</v>
      </c>
      <c r="R293" s="158" t="s">
        <v>481</v>
      </c>
      <c r="S293" s="158" t="s">
        <v>481</v>
      </c>
      <c r="T293" s="159"/>
      <c r="U293" s="159" t="s">
        <v>110</v>
      </c>
      <c r="V293" s="159">
        <v>1</v>
      </c>
      <c r="W293" s="159" t="s">
        <v>111</v>
      </c>
      <c r="X293" s="159">
        <v>0</v>
      </c>
      <c r="Y293" s="159">
        <v>1</v>
      </c>
      <c r="Z293" s="159">
        <v>1</v>
      </c>
      <c r="AA293" s="159" t="s">
        <v>177</v>
      </c>
      <c r="AB293" s="159" t="s">
        <v>338</v>
      </c>
      <c r="AC293" s="160"/>
      <c r="AD293" s="161"/>
    </row>
    <row r="294" spans="2:30" ht="28.8" x14ac:dyDescent="0.3">
      <c r="B294" s="276" t="s">
        <v>615</v>
      </c>
      <c r="C294" s="265" t="s">
        <v>34</v>
      </c>
      <c r="D294" s="263" t="s">
        <v>156</v>
      </c>
      <c r="Q294" s="153" t="s">
        <v>500</v>
      </c>
      <c r="R294" s="158" t="s">
        <v>35</v>
      </c>
      <c r="S294" s="158" t="s">
        <v>36</v>
      </c>
      <c r="T294" s="159"/>
      <c r="U294" s="159" t="s">
        <v>110</v>
      </c>
      <c r="V294" s="159">
        <v>2</v>
      </c>
      <c r="W294" s="159" t="s">
        <v>111</v>
      </c>
      <c r="X294" s="159">
        <v>0</v>
      </c>
      <c r="Y294" s="159">
        <v>1</v>
      </c>
      <c r="Z294" s="159">
        <v>1</v>
      </c>
      <c r="AA294" s="159" t="s">
        <v>177</v>
      </c>
      <c r="AB294" s="159" t="s">
        <v>338</v>
      </c>
      <c r="AC294" s="160"/>
      <c r="AD294" s="161"/>
    </row>
    <row r="295" spans="2:30" ht="28.8" x14ac:dyDescent="0.3">
      <c r="B295" s="276" t="s">
        <v>615</v>
      </c>
      <c r="C295" s="265" t="s">
        <v>35</v>
      </c>
      <c r="D295" s="263" t="s">
        <v>159</v>
      </c>
      <c r="Q295" s="153" t="s">
        <v>500</v>
      </c>
      <c r="R295" s="158" t="s">
        <v>106</v>
      </c>
      <c r="S295" s="158" t="s">
        <v>106</v>
      </c>
      <c r="T295" s="159"/>
      <c r="U295" s="159" t="s">
        <v>110</v>
      </c>
      <c r="V295" s="159">
        <v>3</v>
      </c>
      <c r="W295" s="159" t="s">
        <v>185</v>
      </c>
      <c r="X295" s="159">
        <v>0</v>
      </c>
      <c r="Y295" s="159">
        <v>0</v>
      </c>
      <c r="Z295" s="159">
        <v>0</v>
      </c>
      <c r="AA295" s="159" t="s">
        <v>177</v>
      </c>
      <c r="AB295" s="159" t="s">
        <v>338</v>
      </c>
      <c r="AC295" s="160"/>
      <c r="AD295" s="161"/>
    </row>
    <row r="296" spans="2:30" ht="28.8" x14ac:dyDescent="0.3">
      <c r="B296" s="276" t="s">
        <v>615</v>
      </c>
      <c r="C296" s="265" t="s">
        <v>119</v>
      </c>
      <c r="D296" s="263" t="s">
        <v>157</v>
      </c>
      <c r="Q296" s="153" t="s">
        <v>500</v>
      </c>
      <c r="R296" s="158" t="s">
        <v>113</v>
      </c>
      <c r="S296" s="158" t="s">
        <v>113</v>
      </c>
      <c r="T296" s="159"/>
      <c r="U296" s="159" t="s">
        <v>110</v>
      </c>
      <c r="V296" s="159">
        <v>4</v>
      </c>
      <c r="W296" s="159" t="s">
        <v>111</v>
      </c>
      <c r="X296" s="159">
        <v>0</v>
      </c>
      <c r="Y296" s="159">
        <v>1</v>
      </c>
      <c r="Z296" s="159">
        <v>1</v>
      </c>
      <c r="AA296" s="159" t="s">
        <v>177</v>
      </c>
      <c r="AB296" s="159" t="s">
        <v>338</v>
      </c>
      <c r="AC296" s="160"/>
      <c r="AD296" s="161"/>
    </row>
    <row r="297" spans="2:30" ht="28.8" x14ac:dyDescent="0.3">
      <c r="B297" s="276" t="s">
        <v>615</v>
      </c>
      <c r="C297" s="270" t="s">
        <v>45</v>
      </c>
      <c r="D297" s="269" t="s">
        <v>158</v>
      </c>
      <c r="Q297" s="117" t="s">
        <v>520</v>
      </c>
      <c r="R297" s="108" t="s">
        <v>34</v>
      </c>
      <c r="S297" s="108" t="s">
        <v>34</v>
      </c>
      <c r="T297" s="109"/>
      <c r="U297" s="109" t="s">
        <v>89</v>
      </c>
      <c r="V297" s="109">
        <v>1</v>
      </c>
      <c r="W297" s="109"/>
      <c r="X297" s="109"/>
      <c r="Y297" s="109"/>
      <c r="Z297" s="109"/>
      <c r="AA297" s="109"/>
      <c r="AB297" s="109"/>
      <c r="AC297" s="123"/>
      <c r="AD297" s="110"/>
    </row>
    <row r="298" spans="2:30" ht="28.8" x14ac:dyDescent="0.3">
      <c r="B298" s="276" t="s">
        <v>615</v>
      </c>
      <c r="C298" s="265" t="s">
        <v>215</v>
      </c>
      <c r="D298" s="263" t="s">
        <v>467</v>
      </c>
      <c r="Q298" s="117" t="s">
        <v>520</v>
      </c>
      <c r="R298" s="108" t="s">
        <v>525</v>
      </c>
      <c r="S298" s="108" t="s">
        <v>292</v>
      </c>
      <c r="T298" s="109" t="s">
        <v>134</v>
      </c>
      <c r="U298" s="109" t="s">
        <v>93</v>
      </c>
      <c r="V298" s="109"/>
      <c r="W298" s="109"/>
      <c r="X298" s="109"/>
      <c r="Y298" s="109"/>
      <c r="Z298" s="109"/>
      <c r="AA298" s="109"/>
      <c r="AB298" s="109"/>
      <c r="AC298" s="123"/>
      <c r="AD298" s="110" t="s">
        <v>293</v>
      </c>
    </row>
    <row r="299" spans="2:30" ht="28.8" x14ac:dyDescent="0.3">
      <c r="B299" s="276" t="s">
        <v>615</v>
      </c>
      <c r="C299" s="265" t="s">
        <v>468</v>
      </c>
      <c r="D299" s="263" t="s">
        <v>467</v>
      </c>
      <c r="Q299" s="117" t="s">
        <v>520</v>
      </c>
      <c r="R299" s="108" t="s">
        <v>475</v>
      </c>
      <c r="S299" s="108" t="s">
        <v>501</v>
      </c>
      <c r="T299" s="109" t="s">
        <v>92</v>
      </c>
      <c r="U299" s="109" t="s">
        <v>93</v>
      </c>
      <c r="V299" s="109"/>
      <c r="W299" s="109"/>
      <c r="X299" s="109"/>
      <c r="Y299" s="109"/>
      <c r="Z299" s="109"/>
      <c r="AA299" s="109"/>
      <c r="AB299" s="109"/>
      <c r="AC299" s="123"/>
      <c r="AD299" s="110" t="s">
        <v>293</v>
      </c>
    </row>
    <row r="300" spans="2:30" ht="43.2" x14ac:dyDescent="0.3">
      <c r="B300" s="276" t="s">
        <v>615</v>
      </c>
      <c r="C300" s="278" t="s">
        <v>504</v>
      </c>
      <c r="D300" s="277" t="s">
        <v>534</v>
      </c>
      <c r="Q300" s="117" t="s">
        <v>520</v>
      </c>
      <c r="R300" s="108" t="s">
        <v>477</v>
      </c>
      <c r="S300" s="108" t="s">
        <v>502</v>
      </c>
      <c r="T300" s="109" t="s">
        <v>92</v>
      </c>
      <c r="U300" s="109" t="s">
        <v>93</v>
      </c>
      <c r="V300" s="109"/>
      <c r="W300" s="109"/>
      <c r="X300" s="109"/>
      <c r="Y300" s="109"/>
      <c r="Z300" s="109"/>
      <c r="AA300" s="109"/>
      <c r="AB300" s="109"/>
      <c r="AC300" s="123"/>
      <c r="AD300" s="110" t="s">
        <v>293</v>
      </c>
    </row>
    <row r="301" spans="2:30" ht="72" x14ac:dyDescent="0.3">
      <c r="B301" s="276" t="s">
        <v>615</v>
      </c>
      <c r="C301" s="278" t="s">
        <v>8</v>
      </c>
      <c r="D301" s="277" t="s">
        <v>556</v>
      </c>
      <c r="Q301" s="117" t="s">
        <v>520</v>
      </c>
      <c r="R301" s="108" t="s">
        <v>479</v>
      </c>
      <c r="S301" s="108" t="s">
        <v>503</v>
      </c>
      <c r="T301" s="109" t="s">
        <v>92</v>
      </c>
      <c r="U301" s="109" t="s">
        <v>93</v>
      </c>
      <c r="V301" s="109"/>
      <c r="W301" s="109"/>
      <c r="X301" s="109"/>
      <c r="Y301" s="109"/>
      <c r="Z301" s="109"/>
      <c r="AA301" s="109"/>
      <c r="AB301" s="109"/>
      <c r="AC301" s="123"/>
      <c r="AD301" s="110" t="s">
        <v>293</v>
      </c>
    </row>
    <row r="302" spans="2:30" ht="86.4" x14ac:dyDescent="0.3">
      <c r="B302" s="276" t="s">
        <v>615</v>
      </c>
      <c r="C302" s="278" t="s">
        <v>535</v>
      </c>
      <c r="D302" s="277" t="s">
        <v>536</v>
      </c>
      <c r="Q302" s="117" t="s">
        <v>520</v>
      </c>
      <c r="R302" s="108" t="s">
        <v>479</v>
      </c>
      <c r="S302" s="108" t="s">
        <v>338</v>
      </c>
      <c r="T302" s="109" t="s">
        <v>92</v>
      </c>
      <c r="U302" s="109" t="s">
        <v>93</v>
      </c>
      <c r="V302" s="109"/>
      <c r="W302" s="109"/>
      <c r="X302" s="109"/>
      <c r="Y302" s="109"/>
      <c r="Z302" s="109"/>
      <c r="AA302" s="109"/>
      <c r="AB302" s="109"/>
      <c r="AC302" s="123" t="s">
        <v>105</v>
      </c>
      <c r="AD302" s="110" t="s">
        <v>294</v>
      </c>
    </row>
    <row r="303" spans="2:30" ht="129.6" x14ac:dyDescent="0.3">
      <c r="B303" s="276" t="s">
        <v>615</v>
      </c>
      <c r="C303" s="278" t="s">
        <v>537</v>
      </c>
      <c r="D303" s="277" t="s">
        <v>538</v>
      </c>
      <c r="Q303" s="117" t="s">
        <v>520</v>
      </c>
      <c r="R303" s="108" t="s">
        <v>481</v>
      </c>
      <c r="S303" s="108" t="s">
        <v>481</v>
      </c>
      <c r="T303" s="109"/>
      <c r="U303" s="109" t="s">
        <v>110</v>
      </c>
      <c r="V303" s="109">
        <v>1</v>
      </c>
      <c r="W303" s="109" t="s">
        <v>111</v>
      </c>
      <c r="X303" s="109">
        <v>0</v>
      </c>
      <c r="Y303" s="109">
        <v>1</v>
      </c>
      <c r="Z303" s="109">
        <v>1</v>
      </c>
      <c r="AA303" s="111" t="s">
        <v>177</v>
      </c>
      <c r="AB303" s="111" t="s">
        <v>338</v>
      </c>
      <c r="AC303" s="123"/>
      <c r="AD303" s="110"/>
    </row>
    <row r="304" spans="2:30" ht="115.2" x14ac:dyDescent="0.3">
      <c r="B304" s="276" t="s">
        <v>615</v>
      </c>
      <c r="C304" s="278" t="s">
        <v>539</v>
      </c>
      <c r="D304" s="277" t="s">
        <v>540</v>
      </c>
      <c r="Q304" s="117" t="s">
        <v>520</v>
      </c>
      <c r="R304" s="108" t="s">
        <v>35</v>
      </c>
      <c r="S304" s="108" t="s">
        <v>36</v>
      </c>
      <c r="T304" s="109"/>
      <c r="U304" s="109" t="s">
        <v>110</v>
      </c>
      <c r="V304" s="109">
        <v>2</v>
      </c>
      <c r="W304" s="109" t="s">
        <v>111</v>
      </c>
      <c r="X304" s="109">
        <v>0</v>
      </c>
      <c r="Y304" s="109">
        <v>1</v>
      </c>
      <c r="Z304" s="109">
        <v>1</v>
      </c>
      <c r="AA304" s="111" t="s">
        <v>177</v>
      </c>
      <c r="AB304" s="111" t="s">
        <v>338</v>
      </c>
      <c r="AC304" s="123"/>
      <c r="AD304" s="110"/>
    </row>
    <row r="305" spans="2:30" ht="100.8" x14ac:dyDescent="0.3">
      <c r="B305" s="276" t="s">
        <v>615</v>
      </c>
      <c r="C305" s="278" t="s">
        <v>541</v>
      </c>
      <c r="D305" s="277" t="s">
        <v>542</v>
      </c>
      <c r="Q305" s="117" t="s">
        <v>520</v>
      </c>
      <c r="R305" s="108" t="s">
        <v>526</v>
      </c>
      <c r="S305" s="108" t="s">
        <v>527</v>
      </c>
      <c r="T305" s="109"/>
      <c r="U305" s="109" t="s">
        <v>110</v>
      </c>
      <c r="V305" s="109">
        <v>3</v>
      </c>
      <c r="W305" s="109" t="s">
        <v>185</v>
      </c>
      <c r="X305" s="109">
        <v>0</v>
      </c>
      <c r="Y305" s="109">
        <v>0</v>
      </c>
      <c r="Z305" s="109">
        <v>0</v>
      </c>
      <c r="AA305" s="111" t="s">
        <v>177</v>
      </c>
      <c r="AB305" s="111" t="s">
        <v>338</v>
      </c>
      <c r="AC305" s="123"/>
      <c r="AD305" s="110"/>
    </row>
    <row r="306" spans="2:30" ht="129.6" x14ac:dyDescent="0.3">
      <c r="B306" s="276" t="s">
        <v>615</v>
      </c>
      <c r="C306" s="278" t="s">
        <v>507</v>
      </c>
      <c r="D306" s="277" t="s">
        <v>543</v>
      </c>
      <c r="Q306" s="117" t="s">
        <v>520</v>
      </c>
      <c r="R306" s="108" t="s">
        <v>528</v>
      </c>
      <c r="S306" s="108" t="s">
        <v>529</v>
      </c>
      <c r="T306" s="109"/>
      <c r="U306" s="109" t="s">
        <v>110</v>
      </c>
      <c r="V306" s="109">
        <v>4</v>
      </c>
      <c r="W306" s="109" t="s">
        <v>111</v>
      </c>
      <c r="X306" s="109">
        <v>0</v>
      </c>
      <c r="Y306" s="109">
        <v>1</v>
      </c>
      <c r="Z306" s="109">
        <v>1</v>
      </c>
      <c r="AA306" s="111" t="s">
        <v>177</v>
      </c>
      <c r="AB306" s="111" t="s">
        <v>338</v>
      </c>
      <c r="AC306" s="123"/>
      <c r="AD306" s="110"/>
    </row>
    <row r="307" spans="2:30" ht="115.2" x14ac:dyDescent="0.3">
      <c r="B307" s="276" t="s">
        <v>615</v>
      </c>
      <c r="C307" s="278" t="s">
        <v>508</v>
      </c>
      <c r="D307" s="277" t="s">
        <v>544</v>
      </c>
      <c r="Q307" s="153" t="s">
        <v>523</v>
      </c>
      <c r="R307" s="154" t="s">
        <v>34</v>
      </c>
      <c r="S307" s="154" t="s">
        <v>34</v>
      </c>
      <c r="T307" s="155"/>
      <c r="U307" s="155" t="s">
        <v>89</v>
      </c>
      <c r="V307" s="155">
        <v>1</v>
      </c>
      <c r="W307" s="155"/>
      <c r="X307" s="155"/>
      <c r="Y307" s="155"/>
      <c r="Z307" s="155"/>
      <c r="AA307" s="155"/>
      <c r="AB307" s="155"/>
      <c r="AC307" s="156"/>
      <c r="AD307" s="157"/>
    </row>
    <row r="308" spans="2:30" ht="43.2" x14ac:dyDescent="0.3">
      <c r="B308" s="276" t="s">
        <v>615</v>
      </c>
      <c r="C308" s="278" t="s">
        <v>509</v>
      </c>
      <c r="D308" s="277" t="s">
        <v>510</v>
      </c>
      <c r="Q308" s="153" t="s">
        <v>523</v>
      </c>
      <c r="R308" s="154" t="s">
        <v>525</v>
      </c>
      <c r="S308" s="154" t="s">
        <v>292</v>
      </c>
      <c r="T308" s="155" t="s">
        <v>134</v>
      </c>
      <c r="U308" s="155" t="s">
        <v>93</v>
      </c>
      <c r="V308" s="155"/>
      <c r="W308" s="155"/>
      <c r="X308" s="155"/>
      <c r="Y308" s="155"/>
      <c r="Z308" s="155"/>
      <c r="AA308" s="155"/>
      <c r="AB308" s="155"/>
      <c r="AC308" s="156"/>
      <c r="AD308" s="157" t="s">
        <v>293</v>
      </c>
    </row>
    <row r="309" spans="2:30" ht="57.6" x14ac:dyDescent="0.3">
      <c r="B309" s="276" t="s">
        <v>615</v>
      </c>
      <c r="C309" s="278" t="s">
        <v>475</v>
      </c>
      <c r="D309" s="277" t="s">
        <v>545</v>
      </c>
      <c r="Q309" s="153" t="s">
        <v>523</v>
      </c>
      <c r="R309" s="154" t="s">
        <v>475</v>
      </c>
      <c r="S309" s="154" t="s">
        <v>501</v>
      </c>
      <c r="T309" s="155" t="s">
        <v>92</v>
      </c>
      <c r="U309" s="155" t="s">
        <v>93</v>
      </c>
      <c r="V309" s="155"/>
      <c r="W309" s="155"/>
      <c r="X309" s="155"/>
      <c r="Y309" s="155"/>
      <c r="Z309" s="155"/>
      <c r="AA309" s="155"/>
      <c r="AB309" s="155"/>
      <c r="AC309" s="156"/>
      <c r="AD309" s="157" t="s">
        <v>293</v>
      </c>
    </row>
    <row r="310" spans="2:30" ht="129.6" x14ac:dyDescent="0.3">
      <c r="B310" s="276" t="s">
        <v>615</v>
      </c>
      <c r="C310" s="278" t="s">
        <v>477</v>
      </c>
      <c r="D310" s="277" t="s">
        <v>557</v>
      </c>
      <c r="Q310" s="153" t="s">
        <v>523</v>
      </c>
      <c r="R310" s="154" t="s">
        <v>477</v>
      </c>
      <c r="S310" s="154" t="s">
        <v>502</v>
      </c>
      <c r="T310" s="155" t="s">
        <v>92</v>
      </c>
      <c r="U310" s="155" t="s">
        <v>93</v>
      </c>
      <c r="V310" s="155"/>
      <c r="W310" s="155"/>
      <c r="X310" s="155"/>
      <c r="Y310" s="155"/>
      <c r="Z310" s="155"/>
      <c r="AA310" s="155"/>
      <c r="AB310" s="155"/>
      <c r="AC310" s="156"/>
      <c r="AD310" s="157" t="s">
        <v>293</v>
      </c>
    </row>
    <row r="311" spans="2:30" ht="57.6" x14ac:dyDescent="0.3">
      <c r="B311" s="276" t="s">
        <v>615</v>
      </c>
      <c r="C311" s="278" t="s">
        <v>479</v>
      </c>
      <c r="D311" s="277" t="s">
        <v>546</v>
      </c>
      <c r="Q311" s="153" t="s">
        <v>523</v>
      </c>
      <c r="R311" s="154" t="s">
        <v>479</v>
      </c>
      <c r="S311" s="154" t="s">
        <v>503</v>
      </c>
      <c r="T311" s="155" t="s">
        <v>92</v>
      </c>
      <c r="U311" s="155" t="s">
        <v>93</v>
      </c>
      <c r="V311" s="155"/>
      <c r="W311" s="155"/>
      <c r="X311" s="155"/>
      <c r="Y311" s="155"/>
      <c r="Z311" s="155"/>
      <c r="AA311" s="155"/>
      <c r="AB311" s="155"/>
      <c r="AC311" s="156"/>
      <c r="AD311" s="157" t="s">
        <v>293</v>
      </c>
    </row>
    <row r="312" spans="2:30" ht="345.6" x14ac:dyDescent="0.3">
      <c r="B312" s="276" t="s">
        <v>615</v>
      </c>
      <c r="C312" s="278" t="s">
        <v>481</v>
      </c>
      <c r="D312" s="277" t="s">
        <v>560</v>
      </c>
      <c r="Q312" s="153" t="s">
        <v>523</v>
      </c>
      <c r="R312" s="154" t="s">
        <v>479</v>
      </c>
      <c r="S312" s="154" t="s">
        <v>338</v>
      </c>
      <c r="T312" s="155" t="s">
        <v>92</v>
      </c>
      <c r="U312" s="155" t="s">
        <v>93</v>
      </c>
      <c r="V312" s="155"/>
      <c r="W312" s="155"/>
      <c r="X312" s="155"/>
      <c r="Y312" s="155"/>
      <c r="Z312" s="155"/>
      <c r="AA312" s="155"/>
      <c r="AB312" s="155"/>
      <c r="AC312" s="156" t="s">
        <v>105</v>
      </c>
      <c r="AD312" s="157" t="s">
        <v>294</v>
      </c>
    </row>
    <row r="313" spans="2:30" ht="43.2" x14ac:dyDescent="0.3">
      <c r="B313" s="276" t="s">
        <v>615</v>
      </c>
      <c r="C313" s="270" t="s">
        <v>547</v>
      </c>
      <c r="D313" s="269" t="s">
        <v>548</v>
      </c>
      <c r="Q313" s="153" t="s">
        <v>523</v>
      </c>
      <c r="R313" s="154" t="s">
        <v>481</v>
      </c>
      <c r="S313" s="154" t="s">
        <v>481</v>
      </c>
      <c r="T313" s="155"/>
      <c r="U313" s="155" t="s">
        <v>110</v>
      </c>
      <c r="V313" s="155">
        <v>1</v>
      </c>
      <c r="W313" s="155" t="s">
        <v>111</v>
      </c>
      <c r="X313" s="155">
        <v>0</v>
      </c>
      <c r="Y313" s="155">
        <v>1</v>
      </c>
      <c r="Z313" s="155">
        <v>1</v>
      </c>
      <c r="AA313" s="159" t="s">
        <v>177</v>
      </c>
      <c r="AB313" s="159" t="s">
        <v>338</v>
      </c>
      <c r="AC313" s="156"/>
      <c r="AD313" s="157"/>
    </row>
    <row r="314" spans="2:30" ht="28.8" x14ac:dyDescent="0.3">
      <c r="B314" s="276" t="s">
        <v>572</v>
      </c>
      <c r="C314" s="265" t="s">
        <v>34</v>
      </c>
      <c r="D314" s="264" t="s">
        <v>156</v>
      </c>
      <c r="Q314" s="153" t="s">
        <v>523</v>
      </c>
      <c r="R314" s="154" t="s">
        <v>35</v>
      </c>
      <c r="S314" s="154" t="s">
        <v>36</v>
      </c>
      <c r="T314" s="155"/>
      <c r="U314" s="155" t="s">
        <v>110</v>
      </c>
      <c r="V314" s="155">
        <v>2</v>
      </c>
      <c r="W314" s="155" t="s">
        <v>111</v>
      </c>
      <c r="X314" s="155">
        <v>0</v>
      </c>
      <c r="Y314" s="155">
        <v>1</v>
      </c>
      <c r="Z314" s="155">
        <v>1</v>
      </c>
      <c r="AA314" s="159" t="s">
        <v>177</v>
      </c>
      <c r="AB314" s="159" t="s">
        <v>338</v>
      </c>
      <c r="AC314" s="156"/>
      <c r="AD314" s="157"/>
    </row>
    <row r="315" spans="2:30" ht="28.8" x14ac:dyDescent="0.3">
      <c r="B315" s="276" t="s">
        <v>572</v>
      </c>
      <c r="C315" s="265" t="s">
        <v>35</v>
      </c>
      <c r="D315" s="264" t="s">
        <v>159</v>
      </c>
      <c r="Q315" s="153" t="s">
        <v>523</v>
      </c>
      <c r="R315" s="154" t="s">
        <v>530</v>
      </c>
      <c r="S315" s="154" t="s">
        <v>531</v>
      </c>
      <c r="T315" s="155"/>
      <c r="U315" s="155" t="s">
        <v>110</v>
      </c>
      <c r="V315" s="155">
        <v>3</v>
      </c>
      <c r="W315" s="155" t="s">
        <v>185</v>
      </c>
      <c r="X315" s="155">
        <v>0</v>
      </c>
      <c r="Y315" s="155">
        <v>0</v>
      </c>
      <c r="Z315" s="155">
        <v>0</v>
      </c>
      <c r="AA315" s="159" t="s">
        <v>177</v>
      </c>
      <c r="AB315" s="159" t="s">
        <v>338</v>
      </c>
      <c r="AC315" s="156"/>
      <c r="AD315" s="157"/>
    </row>
    <row r="316" spans="2:30" ht="28.8" x14ac:dyDescent="0.3">
      <c r="B316" s="276" t="s">
        <v>572</v>
      </c>
      <c r="C316" s="265" t="s">
        <v>119</v>
      </c>
      <c r="D316" s="264" t="s">
        <v>157</v>
      </c>
      <c r="Q316" s="153" t="s">
        <v>523</v>
      </c>
      <c r="R316" s="154" t="s">
        <v>532</v>
      </c>
      <c r="S316" s="154" t="s">
        <v>533</v>
      </c>
      <c r="T316" s="155"/>
      <c r="U316" s="155" t="s">
        <v>110</v>
      </c>
      <c r="V316" s="155">
        <v>4</v>
      </c>
      <c r="W316" s="155" t="s">
        <v>111</v>
      </c>
      <c r="X316" s="155">
        <v>0</v>
      </c>
      <c r="Y316" s="155">
        <v>1</v>
      </c>
      <c r="Z316" s="155">
        <v>1</v>
      </c>
      <c r="AA316" s="159" t="s">
        <v>177</v>
      </c>
      <c r="AB316" s="159" t="s">
        <v>338</v>
      </c>
      <c r="AC316" s="156"/>
      <c r="AD316" s="157"/>
    </row>
    <row r="317" spans="2:30" ht="28.8" x14ac:dyDescent="0.3">
      <c r="B317" s="276" t="s">
        <v>572</v>
      </c>
      <c r="C317" s="270" t="s">
        <v>45</v>
      </c>
      <c r="D317" s="271" t="s">
        <v>158</v>
      </c>
      <c r="Q317" s="117" t="s">
        <v>550</v>
      </c>
      <c r="R317" s="108" t="s">
        <v>34</v>
      </c>
      <c r="S317" s="108" t="s">
        <v>34</v>
      </c>
      <c r="T317" s="109"/>
      <c r="U317" s="109" t="s">
        <v>89</v>
      </c>
      <c r="V317" s="109">
        <v>1</v>
      </c>
      <c r="W317" s="109"/>
      <c r="X317" s="109"/>
      <c r="Y317" s="109"/>
      <c r="Z317" s="109"/>
      <c r="AA317" s="109"/>
      <c r="AB317" s="109"/>
      <c r="AC317" s="123"/>
      <c r="AD317" s="110"/>
    </row>
    <row r="318" spans="2:30" x14ac:dyDescent="0.3">
      <c r="B318" s="276" t="s">
        <v>572</v>
      </c>
      <c r="C318" s="265" t="s">
        <v>215</v>
      </c>
      <c r="D318" s="264" t="s">
        <v>467</v>
      </c>
      <c r="Q318" s="117" t="s">
        <v>550</v>
      </c>
      <c r="R318" s="108" t="s">
        <v>547</v>
      </c>
      <c r="S318" s="108" t="s">
        <v>292</v>
      </c>
      <c r="T318" s="109" t="s">
        <v>92</v>
      </c>
      <c r="U318" s="109" t="s">
        <v>93</v>
      </c>
      <c r="V318" s="109"/>
      <c r="W318" s="109"/>
      <c r="X318" s="109"/>
      <c r="Y318" s="109"/>
      <c r="Z318" s="109"/>
      <c r="AA318" s="109"/>
      <c r="AB318" s="109"/>
      <c r="AC318" s="123"/>
      <c r="AD318" s="110" t="s">
        <v>293</v>
      </c>
    </row>
    <row r="319" spans="2:30" x14ac:dyDescent="0.3">
      <c r="B319" s="276" t="s">
        <v>572</v>
      </c>
      <c r="C319" s="265" t="s">
        <v>468</v>
      </c>
      <c r="D319" s="264" t="s">
        <v>467</v>
      </c>
      <c r="Q319" s="117" t="s">
        <v>550</v>
      </c>
      <c r="R319" s="108" t="s">
        <v>504</v>
      </c>
      <c r="S319" s="108" t="s">
        <v>237</v>
      </c>
      <c r="T319" s="109" t="s">
        <v>134</v>
      </c>
      <c r="U319" s="109" t="s">
        <v>93</v>
      </c>
      <c r="V319" s="109"/>
      <c r="W319" s="109"/>
      <c r="X319" s="109"/>
      <c r="Y319" s="109"/>
      <c r="Z319" s="109"/>
      <c r="AA319" s="109"/>
      <c r="AB319" s="109"/>
      <c r="AC319" s="123"/>
      <c r="AD319" s="110" t="s">
        <v>293</v>
      </c>
    </row>
    <row r="320" spans="2:30" ht="115.2" x14ac:dyDescent="0.3">
      <c r="B320" s="276" t="s">
        <v>572</v>
      </c>
      <c r="C320" s="278" t="s">
        <v>507</v>
      </c>
      <c r="D320" s="271" t="s">
        <v>493</v>
      </c>
      <c r="Q320" s="117" t="s">
        <v>550</v>
      </c>
      <c r="R320" s="108" t="s">
        <v>475</v>
      </c>
      <c r="S320" s="108" t="s">
        <v>501</v>
      </c>
      <c r="T320" s="109" t="s">
        <v>92</v>
      </c>
      <c r="U320" s="109" t="s">
        <v>93</v>
      </c>
      <c r="V320" s="109"/>
      <c r="W320" s="109"/>
      <c r="X320" s="109"/>
      <c r="Y320" s="109"/>
      <c r="Z320" s="109"/>
      <c r="AA320" s="109"/>
      <c r="AB320" s="109"/>
      <c r="AC320" s="123"/>
      <c r="AD320" s="110" t="s">
        <v>293</v>
      </c>
    </row>
    <row r="321" spans="2:30" ht="100.8" x14ac:dyDescent="0.3">
      <c r="B321" s="276" t="s">
        <v>572</v>
      </c>
      <c r="C321" s="278" t="s">
        <v>508</v>
      </c>
      <c r="D321" s="271" t="s">
        <v>494</v>
      </c>
      <c r="Q321" s="117" t="s">
        <v>550</v>
      </c>
      <c r="R321" s="108" t="s">
        <v>477</v>
      </c>
      <c r="S321" s="108" t="s">
        <v>502</v>
      </c>
      <c r="T321" s="109" t="s">
        <v>92</v>
      </c>
      <c r="U321" s="109" t="s">
        <v>93</v>
      </c>
      <c r="V321" s="109"/>
      <c r="W321" s="109"/>
      <c r="X321" s="109"/>
      <c r="Y321" s="109"/>
      <c r="Z321" s="109"/>
      <c r="AA321" s="109"/>
      <c r="AB321" s="109"/>
      <c r="AC321" s="123"/>
      <c r="AD321" s="110" t="s">
        <v>293</v>
      </c>
    </row>
    <row r="322" spans="2:30" ht="43.2" x14ac:dyDescent="0.3">
      <c r="B322" s="276" t="s">
        <v>572</v>
      </c>
      <c r="C322" s="278" t="s">
        <v>509</v>
      </c>
      <c r="D322" s="277" t="s">
        <v>510</v>
      </c>
      <c r="Q322" s="117" t="s">
        <v>550</v>
      </c>
      <c r="R322" s="108" t="s">
        <v>479</v>
      </c>
      <c r="S322" s="108" t="s">
        <v>503</v>
      </c>
      <c r="T322" s="109" t="s">
        <v>92</v>
      </c>
      <c r="U322" s="109" t="s">
        <v>93</v>
      </c>
      <c r="V322" s="109"/>
      <c r="W322" s="109"/>
      <c r="X322" s="109"/>
      <c r="Y322" s="109"/>
      <c r="Z322" s="109"/>
      <c r="AA322" s="109"/>
      <c r="AB322" s="109"/>
      <c r="AC322" s="123"/>
      <c r="AD322" s="110" t="s">
        <v>293</v>
      </c>
    </row>
    <row r="323" spans="2:30" ht="43.2" x14ac:dyDescent="0.3">
      <c r="B323" s="276" t="s">
        <v>572</v>
      </c>
      <c r="C323" s="278" t="s">
        <v>475</v>
      </c>
      <c r="D323" s="277" t="s">
        <v>511</v>
      </c>
      <c r="Q323" s="117" t="s">
        <v>550</v>
      </c>
      <c r="R323" s="108" t="s">
        <v>479</v>
      </c>
      <c r="S323" s="108" t="s">
        <v>338</v>
      </c>
      <c r="T323" s="109" t="s">
        <v>92</v>
      </c>
      <c r="U323" s="109" t="s">
        <v>93</v>
      </c>
      <c r="V323" s="109"/>
      <c r="W323" s="109"/>
      <c r="X323" s="109"/>
      <c r="Y323" s="109"/>
      <c r="Z323" s="109"/>
      <c r="AA323" s="109"/>
      <c r="AB323" s="109"/>
      <c r="AC323" s="123" t="s">
        <v>105</v>
      </c>
      <c r="AD323" s="110" t="s">
        <v>294</v>
      </c>
    </row>
    <row r="324" spans="2:30" ht="28.8" x14ac:dyDescent="0.3">
      <c r="B324" s="276" t="s">
        <v>572</v>
      </c>
      <c r="C324" s="278" t="s">
        <v>477</v>
      </c>
      <c r="D324" s="277" t="s">
        <v>512</v>
      </c>
      <c r="Q324" s="117" t="s">
        <v>550</v>
      </c>
      <c r="R324" s="108" t="s">
        <v>541</v>
      </c>
      <c r="S324" s="108" t="s">
        <v>552</v>
      </c>
      <c r="T324" s="109"/>
      <c r="U324" s="109" t="s">
        <v>110</v>
      </c>
      <c r="V324" s="109">
        <v>1</v>
      </c>
      <c r="W324" s="109" t="s">
        <v>111</v>
      </c>
      <c r="X324" s="109">
        <v>0</v>
      </c>
      <c r="Y324" s="109">
        <v>1</v>
      </c>
      <c r="Z324" s="109">
        <v>1</v>
      </c>
      <c r="AA324" s="111" t="s">
        <v>177</v>
      </c>
      <c r="AB324" s="111" t="s">
        <v>338</v>
      </c>
      <c r="AC324" s="123"/>
      <c r="AD324" s="110"/>
    </row>
    <row r="325" spans="2:30" ht="43.2" x14ac:dyDescent="0.3">
      <c r="B325" s="276" t="s">
        <v>572</v>
      </c>
      <c r="C325" s="278" t="s">
        <v>479</v>
      </c>
      <c r="D325" s="277" t="s">
        <v>513</v>
      </c>
      <c r="Q325" s="117" t="s">
        <v>550</v>
      </c>
      <c r="R325" s="108" t="s">
        <v>554</v>
      </c>
      <c r="S325" s="108" t="s">
        <v>555</v>
      </c>
      <c r="T325" s="109"/>
      <c r="U325" s="109" t="s">
        <v>110</v>
      </c>
      <c r="V325" s="109">
        <v>2</v>
      </c>
      <c r="W325" s="109" t="s">
        <v>111</v>
      </c>
      <c r="X325" s="109">
        <v>0</v>
      </c>
      <c r="Y325" s="109">
        <v>1</v>
      </c>
      <c r="Z325" s="109">
        <v>1</v>
      </c>
      <c r="AA325" s="111" t="s">
        <v>177</v>
      </c>
      <c r="AB325" s="111" t="s">
        <v>338</v>
      </c>
      <c r="AC325" s="123"/>
      <c r="AD325" s="110"/>
    </row>
    <row r="326" spans="2:30" ht="316.8" x14ac:dyDescent="0.3">
      <c r="B326" s="276" t="s">
        <v>572</v>
      </c>
      <c r="C326" s="278" t="s">
        <v>481</v>
      </c>
      <c r="D326" s="277" t="s">
        <v>559</v>
      </c>
      <c r="Q326" s="117" t="s">
        <v>550</v>
      </c>
      <c r="R326" s="108" t="s">
        <v>504</v>
      </c>
      <c r="S326" s="108" t="s">
        <v>504</v>
      </c>
      <c r="T326" s="109"/>
      <c r="U326" s="109" t="s">
        <v>110</v>
      </c>
      <c r="V326" s="109">
        <v>3</v>
      </c>
      <c r="W326" s="109" t="s">
        <v>185</v>
      </c>
      <c r="X326" s="109">
        <v>0</v>
      </c>
      <c r="Y326" s="109">
        <v>0</v>
      </c>
      <c r="Z326" s="109">
        <v>0</v>
      </c>
      <c r="AA326" s="111" t="s">
        <v>112</v>
      </c>
      <c r="AB326" s="111" t="s">
        <v>504</v>
      </c>
      <c r="AC326" s="123"/>
      <c r="AD326" s="110"/>
    </row>
    <row r="327" spans="2:30" ht="28.8" x14ac:dyDescent="0.3">
      <c r="B327" s="276" t="s">
        <v>573</v>
      </c>
      <c r="C327" s="265" t="s">
        <v>34</v>
      </c>
      <c r="D327" s="264" t="s">
        <v>156</v>
      </c>
      <c r="Q327" s="194" t="s">
        <v>579</v>
      </c>
      <c r="R327" s="195" t="s">
        <v>34</v>
      </c>
      <c r="S327" s="195" t="s">
        <v>34</v>
      </c>
      <c r="T327" s="196"/>
      <c r="U327" s="196" t="s">
        <v>89</v>
      </c>
      <c r="V327" s="196">
        <v>1</v>
      </c>
      <c r="W327" s="196"/>
      <c r="X327" s="196"/>
      <c r="Y327" s="196"/>
      <c r="Z327" s="196"/>
      <c r="AA327" s="196"/>
      <c r="AB327" s="196"/>
      <c r="AC327" s="197"/>
      <c r="AD327" s="198"/>
    </row>
    <row r="328" spans="2:30" ht="28.8" x14ac:dyDescent="0.3">
      <c r="B328" s="276" t="s">
        <v>573</v>
      </c>
      <c r="C328" s="265" t="s">
        <v>35</v>
      </c>
      <c r="D328" s="264" t="s">
        <v>159</v>
      </c>
      <c r="Q328" s="194" t="s">
        <v>579</v>
      </c>
      <c r="R328" s="195" t="s">
        <v>362</v>
      </c>
      <c r="S328" s="195" t="s">
        <v>363</v>
      </c>
      <c r="T328" s="196" t="s">
        <v>92</v>
      </c>
      <c r="U328" s="196" t="s">
        <v>93</v>
      </c>
      <c r="V328" s="196"/>
      <c r="W328" s="196"/>
      <c r="X328" s="196"/>
      <c r="Y328" s="196"/>
      <c r="Z328" s="196"/>
      <c r="AA328" s="196"/>
      <c r="AB328" s="196"/>
      <c r="AC328" s="197"/>
      <c r="AD328" s="198" t="s">
        <v>293</v>
      </c>
    </row>
    <row r="329" spans="2:30" ht="28.8" x14ac:dyDescent="0.3">
      <c r="B329" s="276" t="s">
        <v>573</v>
      </c>
      <c r="C329" s="265" t="s">
        <v>119</v>
      </c>
      <c r="D329" s="264" t="s">
        <v>157</v>
      </c>
      <c r="Q329" s="194" t="s">
        <v>579</v>
      </c>
      <c r="R329" s="195" t="s">
        <v>360</v>
      </c>
      <c r="S329" s="195" t="s">
        <v>361</v>
      </c>
      <c r="T329" s="196" t="s">
        <v>92</v>
      </c>
      <c r="U329" s="196" t="s">
        <v>93</v>
      </c>
      <c r="V329" s="196"/>
      <c r="W329" s="196"/>
      <c r="X329" s="196"/>
      <c r="Y329" s="196"/>
      <c r="Z329" s="196"/>
      <c r="AA329" s="196"/>
      <c r="AB329" s="196"/>
      <c r="AC329" s="197"/>
      <c r="AD329" s="198" t="s">
        <v>293</v>
      </c>
    </row>
    <row r="330" spans="2:30" ht="28.8" x14ac:dyDescent="0.3">
      <c r="B330" s="276" t="s">
        <v>573</v>
      </c>
      <c r="C330" s="270" t="s">
        <v>45</v>
      </c>
      <c r="D330" s="271" t="s">
        <v>158</v>
      </c>
      <c r="Q330" s="194" t="s">
        <v>579</v>
      </c>
      <c r="R330" s="195" t="s">
        <v>356</v>
      </c>
      <c r="S330" s="195" t="s">
        <v>589</v>
      </c>
      <c r="T330" s="196" t="s">
        <v>92</v>
      </c>
      <c r="U330" s="196" t="s">
        <v>93</v>
      </c>
      <c r="V330" s="196"/>
      <c r="W330" s="196"/>
      <c r="X330" s="196"/>
      <c r="Y330" s="196"/>
      <c r="Z330" s="196"/>
      <c r="AA330" s="196"/>
      <c r="AB330" s="196"/>
      <c r="AC330" s="197"/>
      <c r="AD330" s="198" t="s">
        <v>293</v>
      </c>
    </row>
    <row r="331" spans="2:30" ht="28.8" x14ac:dyDescent="0.3">
      <c r="B331" s="276" t="s">
        <v>573</v>
      </c>
      <c r="C331" s="265" t="s">
        <v>215</v>
      </c>
      <c r="D331" s="264" t="s">
        <v>467</v>
      </c>
      <c r="Q331" s="194" t="s">
        <v>579</v>
      </c>
      <c r="R331" s="195" t="s">
        <v>593</v>
      </c>
      <c r="S331" s="195" t="s">
        <v>584</v>
      </c>
      <c r="T331" s="196" t="s">
        <v>92</v>
      </c>
      <c r="U331" s="196" t="s">
        <v>93</v>
      </c>
      <c r="V331" s="196"/>
      <c r="W331" s="196"/>
      <c r="X331" s="196"/>
      <c r="Y331" s="196"/>
      <c r="Z331" s="196"/>
      <c r="AA331" s="196"/>
      <c r="AB331" s="196"/>
      <c r="AC331" s="197"/>
      <c r="AD331" s="198" t="s">
        <v>293</v>
      </c>
    </row>
    <row r="332" spans="2:30" ht="28.8" x14ac:dyDescent="0.3">
      <c r="B332" s="276" t="s">
        <v>573</v>
      </c>
      <c r="C332" s="265" t="s">
        <v>468</v>
      </c>
      <c r="D332" s="264" t="s">
        <v>467</v>
      </c>
      <c r="Q332" s="194" t="s">
        <v>579</v>
      </c>
      <c r="R332" s="195" t="s">
        <v>581</v>
      </c>
      <c r="S332" s="195" t="s">
        <v>585</v>
      </c>
      <c r="T332" s="196" t="s">
        <v>92</v>
      </c>
      <c r="U332" s="196" t="s">
        <v>93</v>
      </c>
      <c r="V332" s="196"/>
      <c r="W332" s="196"/>
      <c r="X332" s="196"/>
      <c r="Y332" s="196"/>
      <c r="Z332" s="196"/>
      <c r="AA332" s="196"/>
      <c r="AB332" s="196"/>
      <c r="AC332" s="197"/>
      <c r="AD332" s="198" t="s">
        <v>293</v>
      </c>
    </row>
    <row r="333" spans="2:30" ht="115.2" x14ac:dyDescent="0.3">
      <c r="B333" s="276" t="s">
        <v>573</v>
      </c>
      <c r="C333" s="278" t="s">
        <v>507</v>
      </c>
      <c r="D333" s="271" t="s">
        <v>495</v>
      </c>
      <c r="Q333" s="194" t="s">
        <v>579</v>
      </c>
      <c r="R333" s="195" t="s">
        <v>582</v>
      </c>
      <c r="S333" s="195" t="s">
        <v>586</v>
      </c>
      <c r="T333" s="196" t="s">
        <v>92</v>
      </c>
      <c r="U333" s="196" t="s">
        <v>93</v>
      </c>
      <c r="V333" s="196"/>
      <c r="W333" s="196"/>
      <c r="X333" s="196"/>
      <c r="Y333" s="196"/>
      <c r="Z333" s="196"/>
      <c r="AA333" s="196"/>
      <c r="AB333" s="196"/>
      <c r="AC333" s="197"/>
      <c r="AD333" s="198" t="s">
        <v>293</v>
      </c>
    </row>
    <row r="334" spans="2:30" ht="100.8" x14ac:dyDescent="0.3">
      <c r="B334" s="276" t="s">
        <v>573</v>
      </c>
      <c r="C334" s="278" t="s">
        <v>508</v>
      </c>
      <c r="D334" s="271" t="s">
        <v>496</v>
      </c>
      <c r="Q334" s="194" t="s">
        <v>579</v>
      </c>
      <c r="R334" s="195" t="s">
        <v>583</v>
      </c>
      <c r="S334" s="195" t="s">
        <v>587</v>
      </c>
      <c r="T334" s="196" t="s">
        <v>92</v>
      </c>
      <c r="U334" s="196" t="s">
        <v>93</v>
      </c>
      <c r="V334" s="196"/>
      <c r="W334" s="196"/>
      <c r="X334" s="196"/>
      <c r="Y334" s="196"/>
      <c r="Z334" s="196"/>
      <c r="AA334" s="196"/>
      <c r="AB334" s="196"/>
      <c r="AC334" s="197"/>
      <c r="AD334" s="198" t="s">
        <v>293</v>
      </c>
    </row>
    <row r="335" spans="2:30" ht="43.2" x14ac:dyDescent="0.3">
      <c r="B335" s="276" t="s">
        <v>573</v>
      </c>
      <c r="C335" s="278" t="s">
        <v>509</v>
      </c>
      <c r="D335" s="277" t="s">
        <v>510</v>
      </c>
      <c r="Q335" s="194" t="s">
        <v>579</v>
      </c>
      <c r="R335" s="195" t="s">
        <v>576</v>
      </c>
      <c r="S335" s="195" t="s">
        <v>588</v>
      </c>
      <c r="T335" s="196" t="s">
        <v>92</v>
      </c>
      <c r="U335" s="196" t="s">
        <v>93</v>
      </c>
      <c r="V335" s="196"/>
      <c r="W335" s="196"/>
      <c r="X335" s="196"/>
      <c r="Y335" s="196"/>
      <c r="Z335" s="196"/>
      <c r="AA335" s="196"/>
      <c r="AB335" s="196"/>
      <c r="AC335" s="197"/>
      <c r="AD335" s="198" t="s">
        <v>293</v>
      </c>
    </row>
    <row r="336" spans="2:30" ht="43.2" x14ac:dyDescent="0.3">
      <c r="B336" s="276" t="s">
        <v>573</v>
      </c>
      <c r="C336" s="278" t="s">
        <v>475</v>
      </c>
      <c r="D336" s="277" t="s">
        <v>514</v>
      </c>
      <c r="Q336" s="194" t="s">
        <v>579</v>
      </c>
      <c r="R336" s="195" t="s">
        <v>576</v>
      </c>
      <c r="S336" s="195" t="s">
        <v>338</v>
      </c>
      <c r="T336" s="196" t="s">
        <v>92</v>
      </c>
      <c r="U336" s="196" t="s">
        <v>93</v>
      </c>
      <c r="V336" s="196"/>
      <c r="W336" s="196"/>
      <c r="X336" s="196"/>
      <c r="Y336" s="196"/>
      <c r="Z336" s="196"/>
      <c r="AA336" s="196"/>
      <c r="AB336" s="196"/>
      <c r="AC336" s="197" t="s">
        <v>105</v>
      </c>
      <c r="AD336" s="198" t="s">
        <v>294</v>
      </c>
    </row>
    <row r="337" spans="2:30" ht="28.8" x14ac:dyDescent="0.3">
      <c r="B337" s="276" t="s">
        <v>573</v>
      </c>
      <c r="C337" s="278" t="s">
        <v>477</v>
      </c>
      <c r="D337" s="277" t="s">
        <v>512</v>
      </c>
      <c r="Q337" s="194" t="s">
        <v>579</v>
      </c>
      <c r="R337" s="195" t="s">
        <v>35</v>
      </c>
      <c r="S337" s="195" t="s">
        <v>35</v>
      </c>
      <c r="T337" s="196"/>
      <c r="U337" s="196" t="s">
        <v>110</v>
      </c>
      <c r="V337" s="196">
        <v>1</v>
      </c>
      <c r="W337" s="196" t="s">
        <v>111</v>
      </c>
      <c r="X337" s="196">
        <v>0</v>
      </c>
      <c r="Y337" s="196">
        <v>1</v>
      </c>
      <c r="Z337" s="196">
        <v>1</v>
      </c>
      <c r="AA337" s="199" t="s">
        <v>112</v>
      </c>
      <c r="AB337" s="199" t="s">
        <v>35</v>
      </c>
      <c r="AC337" s="197"/>
      <c r="AD337" s="198"/>
    </row>
    <row r="338" spans="2:30" ht="43.2" x14ac:dyDescent="0.3">
      <c r="B338" s="276" t="s">
        <v>573</v>
      </c>
      <c r="C338" s="278" t="s">
        <v>479</v>
      </c>
      <c r="D338" s="277" t="s">
        <v>515</v>
      </c>
      <c r="Q338" s="194" t="s">
        <v>579</v>
      </c>
      <c r="R338" s="200" t="s">
        <v>45</v>
      </c>
      <c r="S338" s="200" t="s">
        <v>45</v>
      </c>
      <c r="T338" s="199"/>
      <c r="U338" s="199" t="s">
        <v>110</v>
      </c>
      <c r="V338" s="199">
        <v>2</v>
      </c>
      <c r="W338" s="199" t="s">
        <v>111</v>
      </c>
      <c r="X338" s="199">
        <v>0</v>
      </c>
      <c r="Y338" s="199">
        <v>0</v>
      </c>
      <c r="Z338" s="199">
        <v>0</v>
      </c>
      <c r="AA338" s="199" t="s">
        <v>112</v>
      </c>
      <c r="AB338" s="199" t="s">
        <v>45</v>
      </c>
      <c r="AC338" s="201"/>
      <c r="AD338" s="202"/>
    </row>
    <row r="339" spans="2:30" ht="316.8" x14ac:dyDescent="0.3">
      <c r="B339" s="276" t="s">
        <v>573</v>
      </c>
      <c r="C339" s="278" t="s">
        <v>481</v>
      </c>
      <c r="D339" s="277" t="s">
        <v>559</v>
      </c>
      <c r="Q339" s="117" t="s">
        <v>600</v>
      </c>
      <c r="R339" s="108" t="s">
        <v>34</v>
      </c>
      <c r="S339" s="108" t="s">
        <v>34</v>
      </c>
      <c r="T339" s="109"/>
      <c r="U339" s="109" t="s">
        <v>89</v>
      </c>
      <c r="V339" s="109">
        <v>1</v>
      </c>
      <c r="W339" s="109"/>
      <c r="X339" s="109"/>
      <c r="Y339" s="109"/>
      <c r="Z339" s="109"/>
      <c r="AA339" s="109"/>
      <c r="AB339" s="109"/>
      <c r="AC339" s="123"/>
      <c r="AD339" s="110"/>
    </row>
    <row r="340" spans="2:30" ht="28.8" x14ac:dyDescent="0.3">
      <c r="B340" s="276" t="s">
        <v>572</v>
      </c>
      <c r="C340" s="265" t="s">
        <v>342</v>
      </c>
      <c r="D340" s="280" t="s">
        <v>516</v>
      </c>
      <c r="Q340" s="117" t="s">
        <v>600</v>
      </c>
      <c r="R340" s="108" t="s">
        <v>606</v>
      </c>
      <c r="S340" s="108" t="s">
        <v>621</v>
      </c>
      <c r="T340" s="109" t="s">
        <v>92</v>
      </c>
      <c r="U340" s="109" t="s">
        <v>93</v>
      </c>
      <c r="V340" s="109"/>
      <c r="W340" s="109"/>
      <c r="X340" s="109"/>
      <c r="Y340" s="109"/>
      <c r="Z340" s="109"/>
      <c r="AA340" s="109"/>
      <c r="AB340" s="109"/>
      <c r="AC340" s="123"/>
      <c r="AD340" s="110" t="s">
        <v>293</v>
      </c>
    </row>
    <row r="341" spans="2:30" x14ac:dyDescent="0.3">
      <c r="B341" s="276" t="s">
        <v>573</v>
      </c>
      <c r="C341" s="270" t="s">
        <v>342</v>
      </c>
      <c r="D341" s="281" t="s">
        <v>516</v>
      </c>
      <c r="Q341" s="117" t="s">
        <v>600</v>
      </c>
      <c r="R341" s="108" t="s">
        <v>607</v>
      </c>
      <c r="S341" s="108" t="s">
        <v>608</v>
      </c>
      <c r="T341" s="109" t="s">
        <v>92</v>
      </c>
      <c r="U341" s="109" t="s">
        <v>93</v>
      </c>
      <c r="V341" s="109"/>
      <c r="W341" s="109"/>
      <c r="X341" s="109"/>
      <c r="Y341" s="109"/>
      <c r="Z341" s="109"/>
      <c r="AA341" s="109"/>
      <c r="AB341" s="109"/>
      <c r="AC341" s="123"/>
      <c r="AD341" s="110" t="s">
        <v>293</v>
      </c>
    </row>
    <row r="342" spans="2:30" ht="28.8" x14ac:dyDescent="0.3">
      <c r="B342" s="276" t="s">
        <v>564</v>
      </c>
      <c r="C342" s="270" t="s">
        <v>34</v>
      </c>
      <c r="D342" s="281" t="s">
        <v>156</v>
      </c>
      <c r="Q342" s="117" t="s">
        <v>600</v>
      </c>
      <c r="R342" s="108" t="s">
        <v>609</v>
      </c>
      <c r="S342" s="108" t="s">
        <v>610</v>
      </c>
      <c r="T342" s="109" t="s">
        <v>92</v>
      </c>
      <c r="U342" s="109" t="s">
        <v>93</v>
      </c>
      <c r="V342" s="109"/>
      <c r="W342" s="109"/>
      <c r="X342" s="109"/>
      <c r="Y342" s="109"/>
      <c r="Z342" s="109"/>
      <c r="AA342" s="109"/>
      <c r="AB342" s="109"/>
      <c r="AC342" s="123"/>
      <c r="AD342" s="110" t="s">
        <v>293</v>
      </c>
    </row>
    <row r="343" spans="2:30" ht="28.8" x14ac:dyDescent="0.3">
      <c r="B343" s="276" t="s">
        <v>564</v>
      </c>
      <c r="C343" s="274" t="s">
        <v>35</v>
      </c>
      <c r="D343" s="282" t="s">
        <v>159</v>
      </c>
      <c r="Q343" s="117" t="s">
        <v>600</v>
      </c>
      <c r="R343" s="108" t="s">
        <v>611</v>
      </c>
      <c r="S343" s="108" t="s">
        <v>612</v>
      </c>
      <c r="T343" s="109" t="s">
        <v>92</v>
      </c>
      <c r="U343" s="109" t="s">
        <v>93</v>
      </c>
      <c r="V343" s="109"/>
      <c r="W343" s="109"/>
      <c r="X343" s="109"/>
      <c r="Y343" s="109"/>
      <c r="Z343" s="109"/>
      <c r="AA343" s="109"/>
      <c r="AB343" s="109"/>
      <c r="AC343" s="123"/>
      <c r="AD343" s="110" t="s">
        <v>293</v>
      </c>
    </row>
    <row r="344" spans="2:30" ht="28.8" x14ac:dyDescent="0.3">
      <c r="B344" s="276" t="s">
        <v>564</v>
      </c>
      <c r="C344" s="274" t="s">
        <v>119</v>
      </c>
      <c r="D344" s="282" t="s">
        <v>157</v>
      </c>
      <c r="Q344" s="117" t="s">
        <v>600</v>
      </c>
      <c r="R344" s="108" t="s">
        <v>115</v>
      </c>
      <c r="S344" s="108" t="s">
        <v>7</v>
      </c>
      <c r="T344" s="109"/>
      <c r="U344" s="109" t="s">
        <v>110</v>
      </c>
      <c r="V344" s="109">
        <v>1</v>
      </c>
      <c r="W344" s="109" t="s">
        <v>111</v>
      </c>
      <c r="X344" s="109">
        <v>0</v>
      </c>
      <c r="Y344" s="109">
        <v>1</v>
      </c>
      <c r="Z344" s="109">
        <v>1</v>
      </c>
      <c r="AA344" s="109" t="s">
        <v>112</v>
      </c>
      <c r="AB344" s="109" t="s">
        <v>7</v>
      </c>
      <c r="AC344" s="123"/>
      <c r="AD344" s="110"/>
    </row>
    <row r="345" spans="2:30" ht="28.8" x14ac:dyDescent="0.3">
      <c r="B345" s="276" t="s">
        <v>564</v>
      </c>
      <c r="C345" s="274" t="s">
        <v>45</v>
      </c>
      <c r="D345" s="282" t="s">
        <v>158</v>
      </c>
      <c r="Q345" s="117" t="s">
        <v>600</v>
      </c>
      <c r="R345" s="124" t="s">
        <v>35</v>
      </c>
      <c r="S345" s="124" t="s">
        <v>35</v>
      </c>
      <c r="T345" s="111"/>
      <c r="U345" s="111" t="s">
        <v>110</v>
      </c>
      <c r="V345" s="111">
        <v>2</v>
      </c>
      <c r="W345" s="111" t="s">
        <v>111</v>
      </c>
      <c r="X345" s="111">
        <v>0</v>
      </c>
      <c r="Y345" s="111">
        <v>1</v>
      </c>
      <c r="Z345" s="111">
        <v>1</v>
      </c>
      <c r="AA345" s="111" t="s">
        <v>112</v>
      </c>
      <c r="AB345" s="111" t="s">
        <v>35</v>
      </c>
      <c r="AC345" s="126"/>
      <c r="AD345" s="127"/>
    </row>
    <row r="346" spans="2:30" x14ac:dyDescent="0.3">
      <c r="B346" s="276" t="s">
        <v>564</v>
      </c>
      <c r="C346" s="274" t="s">
        <v>215</v>
      </c>
      <c r="D346" s="282" t="s">
        <v>467</v>
      </c>
      <c r="Q346" s="117" t="s">
        <v>600</v>
      </c>
      <c r="R346" s="124" t="s">
        <v>128</v>
      </c>
      <c r="S346" s="124" t="s">
        <v>601</v>
      </c>
      <c r="T346" s="111"/>
      <c r="U346" s="111" t="s">
        <v>130</v>
      </c>
      <c r="V346" s="111">
        <v>1</v>
      </c>
      <c r="W346" s="111" t="s">
        <v>111</v>
      </c>
      <c r="X346" s="111">
        <v>0</v>
      </c>
      <c r="Y346" s="111">
        <v>1</v>
      </c>
      <c r="Z346" s="111">
        <v>1</v>
      </c>
      <c r="AA346" s="111"/>
      <c r="AB346" s="111"/>
      <c r="AC346" s="126"/>
      <c r="AD346" s="127"/>
    </row>
    <row r="347" spans="2:30" x14ac:dyDescent="0.3">
      <c r="B347" s="276" t="s">
        <v>564</v>
      </c>
      <c r="C347" s="274" t="s">
        <v>468</v>
      </c>
      <c r="D347" s="282" t="s">
        <v>467</v>
      </c>
      <c r="Q347" s="194" t="s">
        <v>614</v>
      </c>
      <c r="R347" s="195" t="s">
        <v>34</v>
      </c>
      <c r="S347" s="195" t="s">
        <v>34</v>
      </c>
      <c r="T347" s="196"/>
      <c r="U347" s="196" t="s">
        <v>89</v>
      </c>
      <c r="V347" s="196">
        <v>1</v>
      </c>
      <c r="W347" s="196"/>
      <c r="X347" s="196"/>
      <c r="Y347" s="196"/>
      <c r="Z347" s="196"/>
      <c r="AA347" s="196"/>
      <c r="AB347" s="196"/>
      <c r="AC347" s="197"/>
      <c r="AD347" s="198"/>
    </row>
    <row r="348" spans="2:30" ht="86.4" x14ac:dyDescent="0.3">
      <c r="B348" s="276" t="s">
        <v>564</v>
      </c>
      <c r="C348" s="274" t="s">
        <v>469</v>
      </c>
      <c r="D348" s="282" t="s">
        <v>470</v>
      </c>
      <c r="Q348" s="194" t="s">
        <v>614</v>
      </c>
      <c r="R348" s="195" t="s">
        <v>622</v>
      </c>
      <c r="S348" s="195" t="s">
        <v>292</v>
      </c>
      <c r="T348" s="196" t="s">
        <v>134</v>
      </c>
      <c r="U348" s="196" t="s">
        <v>93</v>
      </c>
      <c r="V348" s="196"/>
      <c r="W348" s="196"/>
      <c r="X348" s="196"/>
      <c r="Y348" s="196"/>
      <c r="Z348" s="196"/>
      <c r="AA348" s="196"/>
      <c r="AB348" s="196"/>
      <c r="AC348" s="197"/>
      <c r="AD348" s="198" t="s">
        <v>293</v>
      </c>
    </row>
    <row r="349" spans="2:30" ht="86.4" x14ac:dyDescent="0.3">
      <c r="B349" s="276" t="s">
        <v>564</v>
      </c>
      <c r="C349" s="274" t="s">
        <v>471</v>
      </c>
      <c r="D349" s="282" t="s">
        <v>472</v>
      </c>
      <c r="Q349" s="194" t="s">
        <v>614</v>
      </c>
      <c r="R349" s="195" t="s">
        <v>8</v>
      </c>
      <c r="S349" s="195" t="s">
        <v>91</v>
      </c>
      <c r="T349" s="196" t="s">
        <v>92</v>
      </c>
      <c r="U349" s="196" t="s">
        <v>93</v>
      </c>
      <c r="V349" s="196"/>
      <c r="W349" s="196"/>
      <c r="X349" s="196"/>
      <c r="Y349" s="196"/>
      <c r="Z349" s="196"/>
      <c r="AA349" s="196"/>
      <c r="AB349" s="196"/>
      <c r="AC349" s="197"/>
      <c r="AD349" s="198" t="s">
        <v>293</v>
      </c>
    </row>
    <row r="350" spans="2:30" ht="43.2" x14ac:dyDescent="0.3">
      <c r="B350" s="276" t="s">
        <v>564</v>
      </c>
      <c r="C350" s="274" t="s">
        <v>473</v>
      </c>
      <c r="D350" s="282" t="s">
        <v>474</v>
      </c>
      <c r="Q350" s="194" t="s">
        <v>614</v>
      </c>
      <c r="R350" s="195" t="s">
        <v>13</v>
      </c>
      <c r="S350" s="195" t="s">
        <v>336</v>
      </c>
      <c r="T350" s="196" t="s">
        <v>92</v>
      </c>
      <c r="U350" s="196" t="s">
        <v>93</v>
      </c>
      <c r="V350" s="196"/>
      <c r="W350" s="196"/>
      <c r="X350" s="196"/>
      <c r="Y350" s="196"/>
      <c r="Z350" s="196"/>
      <c r="AA350" s="196"/>
      <c r="AB350" s="196"/>
      <c r="AC350" s="197"/>
      <c r="AD350" s="198" t="s">
        <v>293</v>
      </c>
    </row>
    <row r="351" spans="2:30" ht="43.2" x14ac:dyDescent="0.3">
      <c r="B351" s="276" t="s">
        <v>564</v>
      </c>
      <c r="C351" s="274" t="s">
        <v>475</v>
      </c>
      <c r="D351" s="282" t="s">
        <v>476</v>
      </c>
      <c r="Q351" s="194" t="s">
        <v>614</v>
      </c>
      <c r="R351" s="195" t="s">
        <v>623</v>
      </c>
      <c r="S351" s="195" t="s">
        <v>330</v>
      </c>
      <c r="T351" s="196" t="s">
        <v>92</v>
      </c>
      <c r="U351" s="196" t="s">
        <v>93</v>
      </c>
      <c r="V351" s="196"/>
      <c r="W351" s="196"/>
      <c r="X351" s="196"/>
      <c r="Y351" s="196"/>
      <c r="Z351" s="196"/>
      <c r="AA351" s="196"/>
      <c r="AB351" s="196"/>
      <c r="AC351" s="197"/>
      <c r="AD351" s="198" t="s">
        <v>293</v>
      </c>
    </row>
    <row r="352" spans="2:30" ht="28.8" x14ac:dyDescent="0.3">
      <c r="B352" s="276" t="s">
        <v>564</v>
      </c>
      <c r="C352" s="274" t="s">
        <v>477</v>
      </c>
      <c r="D352" s="282" t="s">
        <v>478</v>
      </c>
      <c r="Q352" s="194" t="s">
        <v>614</v>
      </c>
      <c r="R352" s="195" t="s">
        <v>623</v>
      </c>
      <c r="S352" s="195" t="s">
        <v>104</v>
      </c>
      <c r="T352" s="196" t="s">
        <v>92</v>
      </c>
      <c r="U352" s="196" t="s">
        <v>93</v>
      </c>
      <c r="V352" s="196"/>
      <c r="W352" s="196"/>
      <c r="X352" s="196"/>
      <c r="Y352" s="196"/>
      <c r="Z352" s="196"/>
      <c r="AA352" s="196"/>
      <c r="AB352" s="196"/>
      <c r="AC352" s="197" t="s">
        <v>105</v>
      </c>
      <c r="AD352" s="198" t="s">
        <v>294</v>
      </c>
    </row>
    <row r="353" spans="2:30" ht="57.6" x14ac:dyDescent="0.3">
      <c r="B353" s="276" t="s">
        <v>564</v>
      </c>
      <c r="C353" s="274" t="s">
        <v>479</v>
      </c>
      <c r="D353" s="282" t="s">
        <v>480</v>
      </c>
      <c r="Q353" s="194" t="s">
        <v>614</v>
      </c>
      <c r="R353" s="195" t="s">
        <v>35</v>
      </c>
      <c r="S353" s="195" t="s">
        <v>35</v>
      </c>
      <c r="T353" s="196"/>
      <c r="U353" s="196" t="s">
        <v>110</v>
      </c>
      <c r="V353" s="196">
        <v>1</v>
      </c>
      <c r="W353" s="196" t="s">
        <v>111</v>
      </c>
      <c r="X353" s="196">
        <v>0</v>
      </c>
      <c r="Y353" s="196">
        <v>1</v>
      </c>
      <c r="Z353" s="196">
        <v>1</v>
      </c>
      <c r="AA353" s="199" t="s">
        <v>112</v>
      </c>
      <c r="AB353" s="199" t="s">
        <v>35</v>
      </c>
      <c r="AC353" s="197"/>
      <c r="AD353" s="198"/>
    </row>
    <row r="354" spans="2:30" ht="360" x14ac:dyDescent="0.3">
      <c r="B354" s="276" t="s">
        <v>564</v>
      </c>
      <c r="C354" s="274" t="s">
        <v>481</v>
      </c>
      <c r="D354" s="282" t="s">
        <v>558</v>
      </c>
      <c r="Q354" s="194" t="s">
        <v>614</v>
      </c>
      <c r="R354" s="200" t="s">
        <v>102</v>
      </c>
      <c r="S354" s="200" t="s">
        <v>529</v>
      </c>
      <c r="T354" s="199"/>
      <c r="U354" s="196" t="s">
        <v>110</v>
      </c>
      <c r="V354" s="199">
        <v>2</v>
      </c>
      <c r="W354" s="199" t="s">
        <v>185</v>
      </c>
      <c r="X354" s="199">
        <v>0</v>
      </c>
      <c r="Y354" s="199">
        <v>0</v>
      </c>
      <c r="Z354" s="199">
        <v>0</v>
      </c>
      <c r="AA354" s="199" t="s">
        <v>177</v>
      </c>
      <c r="AB354" s="199" t="s">
        <v>104</v>
      </c>
      <c r="AC354" s="201"/>
      <c r="AD354" s="202"/>
    </row>
    <row r="355" spans="2:30" ht="28.8" x14ac:dyDescent="0.3">
      <c r="B355" s="276" t="s">
        <v>565</v>
      </c>
      <c r="C355" s="274" t="s">
        <v>34</v>
      </c>
      <c r="D355" s="282" t="s">
        <v>156</v>
      </c>
      <c r="Q355" s="194" t="s">
        <v>614</v>
      </c>
      <c r="R355" s="200" t="s">
        <v>98</v>
      </c>
      <c r="S355" s="200" t="s">
        <v>527</v>
      </c>
      <c r="T355" s="199"/>
      <c r="U355" s="196" t="s">
        <v>110</v>
      </c>
      <c r="V355" s="199">
        <v>3</v>
      </c>
      <c r="W355" s="199" t="s">
        <v>185</v>
      </c>
      <c r="X355" s="199">
        <v>0</v>
      </c>
      <c r="Y355" s="199">
        <v>0</v>
      </c>
      <c r="Z355" s="199">
        <v>0</v>
      </c>
      <c r="AA355" s="199" t="s">
        <v>177</v>
      </c>
      <c r="AB355" s="199" t="s">
        <v>104</v>
      </c>
      <c r="AC355" s="201"/>
      <c r="AD355" s="202"/>
    </row>
    <row r="356" spans="2:30" ht="28.8" x14ac:dyDescent="0.3">
      <c r="B356" s="276" t="s">
        <v>565</v>
      </c>
      <c r="C356" s="274" t="s">
        <v>35</v>
      </c>
      <c r="D356" s="282" t="s">
        <v>159</v>
      </c>
      <c r="Q356" s="117" t="s">
        <v>638</v>
      </c>
      <c r="R356" s="108" t="s">
        <v>34</v>
      </c>
      <c r="S356" s="108" t="s">
        <v>34</v>
      </c>
      <c r="T356" s="109"/>
      <c r="U356" s="109" t="s">
        <v>89</v>
      </c>
      <c r="V356" s="109">
        <v>1</v>
      </c>
      <c r="W356" s="109"/>
      <c r="X356" s="109"/>
      <c r="Y356" s="109"/>
      <c r="Z356" s="109"/>
      <c r="AA356" s="109"/>
      <c r="AB356" s="109"/>
      <c r="AC356" s="123"/>
      <c r="AD356" s="110"/>
    </row>
    <row r="357" spans="2:30" ht="28.8" x14ac:dyDescent="0.3">
      <c r="B357" s="276" t="s">
        <v>565</v>
      </c>
      <c r="C357" s="274" t="s">
        <v>119</v>
      </c>
      <c r="D357" s="282" t="s">
        <v>157</v>
      </c>
      <c r="Q357" s="117" t="s">
        <v>638</v>
      </c>
      <c r="R357" s="108" t="s">
        <v>401</v>
      </c>
      <c r="S357" s="108" t="s">
        <v>292</v>
      </c>
      <c r="T357" s="109" t="s">
        <v>134</v>
      </c>
      <c r="U357" s="109" t="s">
        <v>93</v>
      </c>
      <c r="V357" s="109"/>
      <c r="W357" s="109"/>
      <c r="X357" s="109"/>
      <c r="Y357" s="109"/>
      <c r="Z357" s="109"/>
      <c r="AA357" s="109"/>
      <c r="AB357" s="109"/>
      <c r="AC357" s="123"/>
      <c r="AD357" s="110" t="s">
        <v>293</v>
      </c>
    </row>
    <row r="358" spans="2:30" ht="28.8" x14ac:dyDescent="0.3">
      <c r="B358" s="276" t="s">
        <v>565</v>
      </c>
      <c r="C358" s="274" t="s">
        <v>45</v>
      </c>
      <c r="D358" s="282" t="s">
        <v>158</v>
      </c>
      <c r="Q358" s="117" t="s">
        <v>638</v>
      </c>
      <c r="R358" s="108" t="s">
        <v>335</v>
      </c>
      <c r="S358" s="108" t="s">
        <v>627</v>
      </c>
      <c r="T358" s="109" t="s">
        <v>92</v>
      </c>
      <c r="U358" s="109" t="s">
        <v>93</v>
      </c>
      <c r="V358" s="109"/>
      <c r="W358" s="109"/>
      <c r="X358" s="109"/>
      <c r="Y358" s="109"/>
      <c r="Z358" s="109"/>
      <c r="AA358" s="109"/>
      <c r="AB358" s="109"/>
      <c r="AC358" s="123"/>
      <c r="AD358" s="110" t="s">
        <v>293</v>
      </c>
    </row>
    <row r="359" spans="2:30" ht="28.8" x14ac:dyDescent="0.3">
      <c r="B359" s="276" t="s">
        <v>565</v>
      </c>
      <c r="C359" s="274" t="s">
        <v>215</v>
      </c>
      <c r="D359" s="282" t="s">
        <v>467</v>
      </c>
      <c r="Q359" s="117" t="s">
        <v>638</v>
      </c>
      <c r="R359" s="108" t="s">
        <v>405</v>
      </c>
      <c r="S359" s="108" t="s">
        <v>628</v>
      </c>
      <c r="T359" s="109" t="s">
        <v>92</v>
      </c>
      <c r="U359" s="109" t="s">
        <v>93</v>
      </c>
      <c r="V359" s="109"/>
      <c r="W359" s="109"/>
      <c r="X359" s="109"/>
      <c r="Y359" s="109"/>
      <c r="Z359" s="109"/>
      <c r="AA359" s="109"/>
      <c r="AB359" s="109"/>
      <c r="AC359" s="123"/>
      <c r="AD359" s="110" t="s">
        <v>293</v>
      </c>
    </row>
    <row r="360" spans="2:30" ht="28.8" x14ac:dyDescent="0.3">
      <c r="B360" s="276" t="s">
        <v>565</v>
      </c>
      <c r="C360" s="274" t="s">
        <v>468</v>
      </c>
      <c r="D360" s="282" t="s">
        <v>467</v>
      </c>
      <c r="Q360" s="117" t="s">
        <v>638</v>
      </c>
      <c r="R360" s="108" t="s">
        <v>629</v>
      </c>
      <c r="S360" s="108" t="s">
        <v>630</v>
      </c>
      <c r="T360" s="109" t="s">
        <v>92</v>
      </c>
      <c r="U360" s="109" t="s">
        <v>93</v>
      </c>
      <c r="V360" s="109"/>
      <c r="W360" s="109"/>
      <c r="X360" s="109"/>
      <c r="Y360" s="109"/>
      <c r="Z360" s="109"/>
      <c r="AA360" s="109"/>
      <c r="AB360" s="109"/>
      <c r="AC360" s="123"/>
      <c r="AD360" s="110" t="s">
        <v>293</v>
      </c>
    </row>
    <row r="361" spans="2:30" ht="100.8" x14ac:dyDescent="0.3">
      <c r="B361" s="276" t="s">
        <v>565</v>
      </c>
      <c r="C361" s="274" t="s">
        <v>469</v>
      </c>
      <c r="D361" s="282" t="s">
        <v>482</v>
      </c>
      <c r="Q361" s="117" t="s">
        <v>638</v>
      </c>
      <c r="R361" s="108" t="s">
        <v>629</v>
      </c>
      <c r="S361" s="108" t="s">
        <v>104</v>
      </c>
      <c r="T361" s="109" t="s">
        <v>92</v>
      </c>
      <c r="U361" s="109" t="s">
        <v>93</v>
      </c>
      <c r="V361" s="109"/>
      <c r="W361" s="109"/>
      <c r="X361" s="109"/>
      <c r="Y361" s="109"/>
      <c r="Z361" s="109"/>
      <c r="AA361" s="109"/>
      <c r="AB361" s="109"/>
      <c r="AC361" s="123" t="s">
        <v>105</v>
      </c>
      <c r="AD361" s="110" t="s">
        <v>294</v>
      </c>
    </row>
    <row r="362" spans="2:30" ht="86.4" x14ac:dyDescent="0.3">
      <c r="B362" s="276" t="s">
        <v>565</v>
      </c>
      <c r="C362" s="274" t="s">
        <v>471</v>
      </c>
      <c r="D362" s="282" t="s">
        <v>483</v>
      </c>
      <c r="Q362" s="117" t="s">
        <v>638</v>
      </c>
      <c r="R362" s="124" t="s">
        <v>411</v>
      </c>
      <c r="S362" s="124" t="s">
        <v>631</v>
      </c>
      <c r="T362" s="111"/>
      <c r="U362" s="111" t="s">
        <v>110</v>
      </c>
      <c r="V362" s="111">
        <v>1</v>
      </c>
      <c r="W362" s="111" t="s">
        <v>111</v>
      </c>
      <c r="X362" s="111">
        <v>0</v>
      </c>
      <c r="Y362" s="111">
        <v>1</v>
      </c>
      <c r="Z362" s="111">
        <v>1</v>
      </c>
      <c r="AA362" s="111" t="s">
        <v>177</v>
      </c>
      <c r="AB362" s="111" t="s">
        <v>104</v>
      </c>
      <c r="AC362" s="126"/>
      <c r="AD362" s="127"/>
    </row>
    <row r="363" spans="2:30" ht="43.2" x14ac:dyDescent="0.3">
      <c r="B363" s="276" t="s">
        <v>565</v>
      </c>
      <c r="C363" s="274" t="s">
        <v>473</v>
      </c>
      <c r="D363" s="282" t="s">
        <v>474</v>
      </c>
      <c r="Q363" s="117" t="s">
        <v>638</v>
      </c>
      <c r="R363" s="108" t="s">
        <v>307</v>
      </c>
      <c r="S363" s="108" t="s">
        <v>632</v>
      </c>
      <c r="T363" s="109"/>
      <c r="U363" s="109" t="s">
        <v>110</v>
      </c>
      <c r="V363" s="109">
        <v>2</v>
      </c>
      <c r="W363" s="109" t="s">
        <v>185</v>
      </c>
      <c r="X363" s="109">
        <v>0</v>
      </c>
      <c r="Y363" s="109">
        <v>0</v>
      </c>
      <c r="Z363" s="109">
        <v>0</v>
      </c>
      <c r="AA363" s="109" t="s">
        <v>177</v>
      </c>
      <c r="AB363" s="109" t="s">
        <v>104</v>
      </c>
      <c r="AC363" s="123"/>
      <c r="AD363" s="110"/>
    </row>
    <row r="364" spans="2:30" ht="43.2" x14ac:dyDescent="0.3">
      <c r="B364" s="276" t="s">
        <v>565</v>
      </c>
      <c r="C364" s="274" t="s">
        <v>475</v>
      </c>
      <c r="D364" s="282" t="s">
        <v>484</v>
      </c>
      <c r="Q364" s="117" t="s">
        <v>638</v>
      </c>
      <c r="R364" s="124" t="s">
        <v>633</v>
      </c>
      <c r="S364" s="124" t="s">
        <v>634</v>
      </c>
      <c r="T364" s="111"/>
      <c r="U364" s="111" t="s">
        <v>110</v>
      </c>
      <c r="V364" s="111">
        <v>3</v>
      </c>
      <c r="W364" s="111" t="s">
        <v>185</v>
      </c>
      <c r="X364" s="111">
        <v>0</v>
      </c>
      <c r="Y364" s="111">
        <v>0</v>
      </c>
      <c r="Z364" s="111">
        <v>0</v>
      </c>
      <c r="AA364" s="111" t="s">
        <v>177</v>
      </c>
      <c r="AB364" s="111" t="s">
        <v>104</v>
      </c>
      <c r="AC364" s="126"/>
      <c r="AD364" s="127"/>
    </row>
    <row r="365" spans="2:30" ht="28.8" x14ac:dyDescent="0.3">
      <c r="B365" s="276" t="s">
        <v>565</v>
      </c>
      <c r="C365" s="274" t="s">
        <v>477</v>
      </c>
      <c r="D365" s="282" t="s">
        <v>478</v>
      </c>
      <c r="Q365" s="117" t="s">
        <v>638</v>
      </c>
      <c r="R365" s="108" t="s">
        <v>35</v>
      </c>
      <c r="S365" s="108" t="s">
        <v>35</v>
      </c>
      <c r="T365" s="109"/>
      <c r="U365" s="109" t="s">
        <v>110</v>
      </c>
      <c r="V365" s="109">
        <v>4</v>
      </c>
      <c r="W365" s="109" t="s">
        <v>111</v>
      </c>
      <c r="X365" s="109">
        <v>0</v>
      </c>
      <c r="Y365" s="109">
        <v>1</v>
      </c>
      <c r="Z365" s="109">
        <v>1</v>
      </c>
      <c r="AA365" s="109" t="s">
        <v>112</v>
      </c>
      <c r="AB365" s="109" t="s">
        <v>35</v>
      </c>
      <c r="AC365" s="123"/>
      <c r="AD365" s="110"/>
    </row>
    <row r="366" spans="2:30" ht="57.6" x14ac:dyDescent="0.3">
      <c r="B366" s="276" t="s">
        <v>565</v>
      </c>
      <c r="C366" s="274" t="s">
        <v>479</v>
      </c>
      <c r="D366" s="282" t="s">
        <v>485</v>
      </c>
      <c r="Q366" s="194" t="s">
        <v>642</v>
      </c>
      <c r="R366" s="195" t="s">
        <v>34</v>
      </c>
      <c r="S366" s="195" t="s">
        <v>34</v>
      </c>
      <c r="T366" s="196"/>
      <c r="U366" s="196" t="s">
        <v>89</v>
      </c>
      <c r="V366" s="196">
        <v>1</v>
      </c>
      <c r="W366" s="196"/>
      <c r="X366" s="196"/>
      <c r="Y366" s="196"/>
      <c r="Z366" s="196"/>
      <c r="AA366" s="196"/>
      <c r="AB366" s="196"/>
      <c r="AC366" s="197"/>
      <c r="AD366" s="198"/>
    </row>
    <row r="367" spans="2:30" ht="360" x14ac:dyDescent="0.3">
      <c r="B367" s="276" t="s">
        <v>565</v>
      </c>
      <c r="C367" s="274" t="s">
        <v>481</v>
      </c>
      <c r="D367" s="282" t="s">
        <v>558</v>
      </c>
      <c r="Q367" s="194" t="s">
        <v>642</v>
      </c>
      <c r="R367" s="195" t="s">
        <v>547</v>
      </c>
      <c r="S367" s="195" t="s">
        <v>292</v>
      </c>
      <c r="T367" s="196" t="s">
        <v>134</v>
      </c>
      <c r="U367" s="196" t="s">
        <v>93</v>
      </c>
      <c r="V367" s="196"/>
      <c r="W367" s="196"/>
      <c r="X367" s="196"/>
      <c r="Y367" s="196"/>
      <c r="Z367" s="196"/>
      <c r="AA367" s="196"/>
      <c r="AB367" s="196"/>
      <c r="AC367" s="197"/>
      <c r="AD367" s="198" t="s">
        <v>293</v>
      </c>
    </row>
    <row r="368" spans="2:30" ht="28.8" x14ac:dyDescent="0.3">
      <c r="B368" s="276" t="s">
        <v>566</v>
      </c>
      <c r="C368" s="274" t="s">
        <v>34</v>
      </c>
      <c r="D368" s="282" t="s">
        <v>156</v>
      </c>
      <c r="Q368" s="194" t="s">
        <v>642</v>
      </c>
      <c r="R368" s="195" t="s">
        <v>313</v>
      </c>
      <c r="S368" s="195" t="s">
        <v>237</v>
      </c>
      <c r="T368" s="196" t="s">
        <v>134</v>
      </c>
      <c r="U368" s="196" t="s">
        <v>93</v>
      </c>
      <c r="V368" s="196"/>
      <c r="W368" s="196"/>
      <c r="X368" s="196"/>
      <c r="Y368" s="196"/>
      <c r="Z368" s="196"/>
      <c r="AA368" s="196"/>
      <c r="AB368" s="196"/>
      <c r="AC368" s="197"/>
      <c r="AD368" s="198" t="s">
        <v>293</v>
      </c>
    </row>
    <row r="369" spans="2:30" ht="28.8" x14ac:dyDescent="0.3">
      <c r="B369" s="276" t="s">
        <v>566</v>
      </c>
      <c r="C369" s="274" t="s">
        <v>35</v>
      </c>
      <c r="D369" s="282" t="s">
        <v>159</v>
      </c>
      <c r="Q369" s="194" t="s">
        <v>642</v>
      </c>
      <c r="R369" s="195" t="s">
        <v>335</v>
      </c>
      <c r="S369" s="195" t="s">
        <v>653</v>
      </c>
      <c r="T369" s="196" t="s">
        <v>92</v>
      </c>
      <c r="U369" s="196" t="s">
        <v>93</v>
      </c>
      <c r="V369" s="196"/>
      <c r="W369" s="196"/>
      <c r="X369" s="196"/>
      <c r="Y369" s="196"/>
      <c r="Z369" s="196"/>
      <c r="AA369" s="196"/>
      <c r="AB369" s="196"/>
      <c r="AC369" s="197"/>
      <c r="AD369" s="198" t="s">
        <v>293</v>
      </c>
    </row>
    <row r="370" spans="2:30" ht="28.8" x14ac:dyDescent="0.3">
      <c r="B370" s="276" t="s">
        <v>566</v>
      </c>
      <c r="C370" s="274" t="s">
        <v>119</v>
      </c>
      <c r="D370" s="282" t="s">
        <v>157</v>
      </c>
      <c r="Q370" s="194" t="s">
        <v>642</v>
      </c>
      <c r="R370" s="195" t="s">
        <v>8</v>
      </c>
      <c r="S370" s="195" t="s">
        <v>91</v>
      </c>
      <c r="T370" s="196" t="s">
        <v>92</v>
      </c>
      <c r="U370" s="196" t="s">
        <v>93</v>
      </c>
      <c r="V370" s="196"/>
      <c r="W370" s="196"/>
      <c r="X370" s="196"/>
      <c r="Y370" s="196"/>
      <c r="Z370" s="196"/>
      <c r="AA370" s="196"/>
      <c r="AB370" s="196"/>
      <c r="AC370" s="197"/>
      <c r="AD370" s="198" t="s">
        <v>293</v>
      </c>
    </row>
    <row r="371" spans="2:30" ht="28.8" x14ac:dyDescent="0.3">
      <c r="B371" s="276" t="s">
        <v>566</v>
      </c>
      <c r="C371" s="274" t="s">
        <v>45</v>
      </c>
      <c r="D371" s="282" t="s">
        <v>158</v>
      </c>
      <c r="Q371" s="194" t="s">
        <v>642</v>
      </c>
      <c r="R371" s="195" t="s">
        <v>13</v>
      </c>
      <c r="S371" s="195" t="s">
        <v>336</v>
      </c>
      <c r="T371" s="196" t="s">
        <v>92</v>
      </c>
      <c r="U371" s="196" t="s">
        <v>93</v>
      </c>
      <c r="V371" s="196"/>
      <c r="W371" s="196"/>
      <c r="X371" s="196"/>
      <c r="Y371" s="196"/>
      <c r="Z371" s="196"/>
      <c r="AA371" s="196"/>
      <c r="AB371" s="196"/>
      <c r="AC371" s="197"/>
      <c r="AD371" s="198" t="s">
        <v>293</v>
      </c>
    </row>
    <row r="372" spans="2:30" ht="28.8" x14ac:dyDescent="0.3">
      <c r="B372" s="276" t="s">
        <v>566</v>
      </c>
      <c r="C372" s="274" t="s">
        <v>215</v>
      </c>
      <c r="D372" s="282" t="s">
        <v>467</v>
      </c>
      <c r="Q372" s="194" t="s">
        <v>642</v>
      </c>
      <c r="R372" s="195" t="s">
        <v>623</v>
      </c>
      <c r="S372" s="195" t="s">
        <v>330</v>
      </c>
      <c r="T372" s="196" t="s">
        <v>92</v>
      </c>
      <c r="U372" s="196" t="s">
        <v>93</v>
      </c>
      <c r="V372" s="196"/>
      <c r="W372" s="196"/>
      <c r="X372" s="196"/>
      <c r="Y372" s="196"/>
      <c r="Z372" s="196"/>
      <c r="AA372" s="196"/>
      <c r="AB372" s="196"/>
      <c r="AC372" s="197"/>
      <c r="AD372" s="198" t="s">
        <v>293</v>
      </c>
    </row>
    <row r="373" spans="2:30" ht="28.8" x14ac:dyDescent="0.3">
      <c r="B373" s="276" t="s">
        <v>566</v>
      </c>
      <c r="C373" s="274" t="s">
        <v>468</v>
      </c>
      <c r="D373" s="282" t="s">
        <v>467</v>
      </c>
      <c r="Q373" s="194" t="s">
        <v>642</v>
      </c>
      <c r="R373" s="195" t="s">
        <v>623</v>
      </c>
      <c r="S373" s="195" t="s">
        <v>104</v>
      </c>
      <c r="T373" s="196" t="s">
        <v>92</v>
      </c>
      <c r="U373" s="196" t="s">
        <v>93</v>
      </c>
      <c r="V373" s="196"/>
      <c r="W373" s="196"/>
      <c r="X373" s="196"/>
      <c r="Y373" s="196"/>
      <c r="Z373" s="196"/>
      <c r="AA373" s="196"/>
      <c r="AB373" s="196"/>
      <c r="AC373" s="197" t="s">
        <v>105</v>
      </c>
      <c r="AD373" s="198" t="s">
        <v>294</v>
      </c>
    </row>
    <row r="374" spans="2:30" ht="86.4" x14ac:dyDescent="0.3">
      <c r="B374" s="276" t="s">
        <v>566</v>
      </c>
      <c r="C374" s="274" t="s">
        <v>469</v>
      </c>
      <c r="D374" s="282" t="s">
        <v>470</v>
      </c>
      <c r="Q374" s="194" t="s">
        <v>642</v>
      </c>
      <c r="R374" s="195" t="s">
        <v>307</v>
      </c>
      <c r="S374" s="195" t="s">
        <v>632</v>
      </c>
      <c r="T374" s="196"/>
      <c r="U374" s="196" t="s">
        <v>110</v>
      </c>
      <c r="V374" s="196">
        <v>1</v>
      </c>
      <c r="W374" s="199" t="s">
        <v>111</v>
      </c>
      <c r="X374" s="199">
        <v>0</v>
      </c>
      <c r="Y374" s="199">
        <v>1</v>
      </c>
      <c r="Z374" s="199">
        <v>1</v>
      </c>
      <c r="AA374" s="196" t="s">
        <v>177</v>
      </c>
      <c r="AB374" s="196" t="s">
        <v>104</v>
      </c>
      <c r="AC374" s="197"/>
      <c r="AD374" s="198"/>
    </row>
    <row r="375" spans="2:30" ht="86.4" x14ac:dyDescent="0.3">
      <c r="B375" s="276" t="s">
        <v>566</v>
      </c>
      <c r="C375" s="274" t="s">
        <v>471</v>
      </c>
      <c r="D375" s="282" t="s">
        <v>472</v>
      </c>
      <c r="Q375" s="194" t="s">
        <v>642</v>
      </c>
      <c r="R375" s="200" t="s">
        <v>313</v>
      </c>
      <c r="S375" s="200" t="s">
        <v>654</v>
      </c>
      <c r="T375" s="199"/>
      <c r="U375" s="196" t="s">
        <v>110</v>
      </c>
      <c r="V375" s="199">
        <v>2</v>
      </c>
      <c r="W375" s="199" t="s">
        <v>111</v>
      </c>
      <c r="X375" s="199">
        <v>0</v>
      </c>
      <c r="Y375" s="199">
        <v>1</v>
      </c>
      <c r="Z375" s="199">
        <v>1</v>
      </c>
      <c r="AA375" s="199" t="s">
        <v>177</v>
      </c>
      <c r="AB375" s="199" t="s">
        <v>104</v>
      </c>
      <c r="AC375" s="201"/>
      <c r="AD375" s="202"/>
    </row>
    <row r="376" spans="2:30" ht="43.2" x14ac:dyDescent="0.3">
      <c r="B376" s="276" t="s">
        <v>566</v>
      </c>
      <c r="C376" s="274" t="s">
        <v>473</v>
      </c>
      <c r="D376" s="282" t="s">
        <v>474</v>
      </c>
      <c r="Q376" s="194" t="s">
        <v>642</v>
      </c>
      <c r="R376" s="200" t="s">
        <v>655</v>
      </c>
      <c r="S376" s="200" t="s">
        <v>308</v>
      </c>
      <c r="T376" s="199"/>
      <c r="U376" s="196" t="s">
        <v>110</v>
      </c>
      <c r="V376" s="199">
        <v>3</v>
      </c>
      <c r="W376" s="199" t="s">
        <v>185</v>
      </c>
      <c r="X376" s="199">
        <v>0</v>
      </c>
      <c r="Y376" s="199">
        <v>0</v>
      </c>
      <c r="Z376" s="199">
        <v>0</v>
      </c>
      <c r="AA376" s="199" t="s">
        <v>177</v>
      </c>
      <c r="AB376" s="199" t="s">
        <v>104</v>
      </c>
      <c r="AC376" s="201"/>
      <c r="AD376" s="198" t="s">
        <v>293</v>
      </c>
    </row>
    <row r="377" spans="2:30" ht="43.2" x14ac:dyDescent="0.3">
      <c r="B377" s="276" t="s">
        <v>566</v>
      </c>
      <c r="C377" s="274" t="s">
        <v>475</v>
      </c>
      <c r="D377" s="282" t="s">
        <v>476</v>
      </c>
      <c r="Q377" s="194" t="s">
        <v>642</v>
      </c>
      <c r="R377" s="200" t="s">
        <v>35</v>
      </c>
      <c r="S377" s="200" t="s">
        <v>35</v>
      </c>
      <c r="T377" s="199"/>
      <c r="U377" s="199" t="s">
        <v>110</v>
      </c>
      <c r="V377" s="199">
        <v>4</v>
      </c>
      <c r="W377" s="199" t="s">
        <v>111</v>
      </c>
      <c r="X377" s="199">
        <v>0</v>
      </c>
      <c r="Y377" s="199">
        <v>1</v>
      </c>
      <c r="Z377" s="199">
        <v>1</v>
      </c>
      <c r="AA377" s="199" t="s">
        <v>112</v>
      </c>
      <c r="AB377" s="199" t="s">
        <v>35</v>
      </c>
      <c r="AC377" s="201"/>
      <c r="AD377" s="202"/>
    </row>
    <row r="378" spans="2:30" ht="28.8" x14ac:dyDescent="0.3">
      <c r="B378" s="276" t="s">
        <v>566</v>
      </c>
      <c r="C378" s="274" t="s">
        <v>477</v>
      </c>
      <c r="D378" s="282" t="s">
        <v>478</v>
      </c>
      <c r="Q378" s="117" t="s">
        <v>665</v>
      </c>
      <c r="R378" s="108" t="s">
        <v>34</v>
      </c>
      <c r="S378" s="108" t="s">
        <v>34</v>
      </c>
      <c r="T378" s="109"/>
      <c r="U378" s="109" t="s">
        <v>89</v>
      </c>
      <c r="V378" s="109">
        <v>1</v>
      </c>
      <c r="W378" s="109"/>
      <c r="X378" s="109"/>
      <c r="Y378" s="109"/>
      <c r="Z378" s="109"/>
      <c r="AA378" s="109"/>
      <c r="AB378" s="109"/>
      <c r="AC378" s="123"/>
      <c r="AD378" s="110"/>
    </row>
    <row r="379" spans="2:30" ht="57.6" x14ac:dyDescent="0.3">
      <c r="B379" s="276" t="s">
        <v>566</v>
      </c>
      <c r="C379" s="274" t="s">
        <v>479</v>
      </c>
      <c r="D379" s="282" t="s">
        <v>480</v>
      </c>
      <c r="Q379" s="117" t="s">
        <v>665</v>
      </c>
      <c r="R379" s="108" t="s">
        <v>669</v>
      </c>
      <c r="S379" s="108" t="s">
        <v>671</v>
      </c>
      <c r="T379" s="109" t="s">
        <v>92</v>
      </c>
      <c r="U379" s="109" t="s">
        <v>93</v>
      </c>
      <c r="V379" s="109"/>
      <c r="W379" s="109"/>
      <c r="X379" s="109"/>
      <c r="Y379" s="109"/>
      <c r="Z379" s="109"/>
      <c r="AA379" s="109"/>
      <c r="AB379" s="109"/>
      <c r="AC379" s="123"/>
      <c r="AD379" s="110" t="s">
        <v>293</v>
      </c>
    </row>
    <row r="380" spans="2:30" ht="360" x14ac:dyDescent="0.3">
      <c r="B380" s="276" t="s">
        <v>566</v>
      </c>
      <c r="C380" s="274" t="s">
        <v>481</v>
      </c>
      <c r="D380" s="282" t="s">
        <v>558</v>
      </c>
      <c r="Q380" s="117" t="s">
        <v>665</v>
      </c>
      <c r="R380" s="108" t="s">
        <v>669</v>
      </c>
      <c r="S380" s="108" t="s">
        <v>104</v>
      </c>
      <c r="T380" s="109" t="s">
        <v>92</v>
      </c>
      <c r="U380" s="109" t="s">
        <v>93</v>
      </c>
      <c r="V380" s="109"/>
      <c r="W380" s="109"/>
      <c r="X380" s="109"/>
      <c r="Y380" s="109"/>
      <c r="Z380" s="109"/>
      <c r="AA380" s="109"/>
      <c r="AB380" s="109"/>
      <c r="AC380" s="123" t="s">
        <v>105</v>
      </c>
      <c r="AD380" s="110" t="s">
        <v>294</v>
      </c>
    </row>
    <row r="381" spans="2:30" ht="28.8" x14ac:dyDescent="0.3">
      <c r="B381" s="276" t="s">
        <v>567</v>
      </c>
      <c r="C381" s="274" t="s">
        <v>34</v>
      </c>
      <c r="D381" s="282" t="s">
        <v>156</v>
      </c>
      <c r="Q381" s="117" t="s">
        <v>665</v>
      </c>
      <c r="R381" s="108" t="s">
        <v>669</v>
      </c>
      <c r="S381" s="108" t="s">
        <v>670</v>
      </c>
      <c r="T381" s="109" t="s">
        <v>92</v>
      </c>
      <c r="U381" s="109" t="s">
        <v>93</v>
      </c>
      <c r="V381" s="109"/>
      <c r="W381" s="109"/>
      <c r="X381" s="109"/>
      <c r="Y381" s="109"/>
      <c r="Z381" s="109"/>
      <c r="AA381" s="109"/>
      <c r="AB381" s="109"/>
      <c r="AC381" s="123" t="s">
        <v>135</v>
      </c>
      <c r="AD381" s="110" t="s">
        <v>294</v>
      </c>
    </row>
    <row r="382" spans="2:30" ht="28.8" x14ac:dyDescent="0.3">
      <c r="B382" s="276" t="s">
        <v>567</v>
      </c>
      <c r="C382" s="274" t="s">
        <v>35</v>
      </c>
      <c r="D382" s="282" t="s">
        <v>159</v>
      </c>
      <c r="Q382" s="117" t="s">
        <v>665</v>
      </c>
      <c r="R382" s="108" t="s">
        <v>672</v>
      </c>
      <c r="S382" s="108" t="s">
        <v>673</v>
      </c>
      <c r="T382" s="109" t="s">
        <v>92</v>
      </c>
      <c r="U382" s="109" t="s">
        <v>93</v>
      </c>
      <c r="V382" s="109"/>
      <c r="W382" s="109"/>
      <c r="X382" s="109"/>
      <c r="Y382" s="109"/>
      <c r="Z382" s="109"/>
      <c r="AA382" s="109"/>
      <c r="AB382" s="109"/>
      <c r="AC382" s="123"/>
      <c r="AD382" s="110" t="s">
        <v>293</v>
      </c>
    </row>
    <row r="383" spans="2:30" ht="28.8" x14ac:dyDescent="0.3">
      <c r="B383" s="276" t="s">
        <v>567</v>
      </c>
      <c r="C383" s="274" t="s">
        <v>119</v>
      </c>
      <c r="D383" s="282" t="s">
        <v>157</v>
      </c>
      <c r="Q383" s="117" t="s">
        <v>665</v>
      </c>
      <c r="R383" s="108" t="s">
        <v>674</v>
      </c>
      <c r="S383" s="108" t="s">
        <v>675</v>
      </c>
      <c r="T383" s="109" t="s">
        <v>92</v>
      </c>
      <c r="U383" s="109" t="s">
        <v>93</v>
      </c>
      <c r="V383" s="109"/>
      <c r="W383" s="109"/>
      <c r="X383" s="109"/>
      <c r="Y383" s="109"/>
      <c r="Z383" s="109"/>
      <c r="AA383" s="109"/>
      <c r="AB383" s="109"/>
      <c r="AC383" s="123"/>
      <c r="AD383" s="110" t="s">
        <v>293</v>
      </c>
    </row>
    <row r="384" spans="2:30" ht="28.8" x14ac:dyDescent="0.3">
      <c r="B384" s="276" t="s">
        <v>567</v>
      </c>
      <c r="C384" s="274" t="s">
        <v>45</v>
      </c>
      <c r="D384" s="282" t="s">
        <v>158</v>
      </c>
      <c r="Q384" s="117" t="s">
        <v>665</v>
      </c>
      <c r="R384" s="108" t="s">
        <v>676</v>
      </c>
      <c r="S384" s="108" t="s">
        <v>677</v>
      </c>
      <c r="T384" s="109" t="s">
        <v>92</v>
      </c>
      <c r="U384" s="109" t="s">
        <v>93</v>
      </c>
      <c r="V384" s="109"/>
      <c r="W384" s="109"/>
      <c r="X384" s="109"/>
      <c r="Y384" s="109"/>
      <c r="Z384" s="109"/>
      <c r="AA384" s="109"/>
      <c r="AB384" s="109"/>
      <c r="AC384" s="123"/>
      <c r="AD384" s="110" t="s">
        <v>293</v>
      </c>
    </row>
    <row r="385" spans="2:30" ht="28.8" x14ac:dyDescent="0.3">
      <c r="B385" s="276" t="s">
        <v>567</v>
      </c>
      <c r="C385" s="274" t="s">
        <v>215</v>
      </c>
      <c r="D385" s="282" t="s">
        <v>467</v>
      </c>
      <c r="Q385" s="117" t="s">
        <v>665</v>
      </c>
      <c r="R385" s="108" t="s">
        <v>678</v>
      </c>
      <c r="S385" s="108" t="s">
        <v>679</v>
      </c>
      <c r="T385" s="109" t="s">
        <v>92</v>
      </c>
      <c r="U385" s="109" t="s">
        <v>93</v>
      </c>
      <c r="V385" s="109"/>
      <c r="W385" s="109"/>
      <c r="X385" s="109"/>
      <c r="Y385" s="109"/>
      <c r="Z385" s="109"/>
      <c r="AA385" s="109"/>
      <c r="AB385" s="109"/>
      <c r="AC385" s="123"/>
      <c r="AD385" s="110" t="s">
        <v>293</v>
      </c>
    </row>
    <row r="386" spans="2:30" ht="28.8" x14ac:dyDescent="0.3">
      <c r="B386" s="276" t="s">
        <v>567</v>
      </c>
      <c r="C386" s="274" t="s">
        <v>468</v>
      </c>
      <c r="D386" s="282" t="s">
        <v>467</v>
      </c>
      <c r="Q386" s="117" t="s">
        <v>665</v>
      </c>
      <c r="R386" s="108" t="s">
        <v>680</v>
      </c>
      <c r="S386" s="108" t="s">
        <v>682</v>
      </c>
      <c r="T386" s="109"/>
      <c r="U386" s="109" t="s">
        <v>110</v>
      </c>
      <c r="V386" s="109">
        <v>1</v>
      </c>
      <c r="W386" s="111" t="s">
        <v>111</v>
      </c>
      <c r="X386" s="111">
        <v>0</v>
      </c>
      <c r="Y386" s="111">
        <v>1</v>
      </c>
      <c r="Z386" s="111">
        <v>1</v>
      </c>
      <c r="AA386" s="109" t="s">
        <v>177</v>
      </c>
      <c r="AB386" s="109" t="s">
        <v>104</v>
      </c>
      <c r="AC386" s="123"/>
      <c r="AD386" s="110"/>
    </row>
    <row r="387" spans="2:30" ht="100.8" x14ac:dyDescent="0.3">
      <c r="B387" s="276" t="s">
        <v>567</v>
      </c>
      <c r="C387" s="274" t="s">
        <v>469</v>
      </c>
      <c r="D387" s="282" t="s">
        <v>482</v>
      </c>
      <c r="Q387" s="117" t="s">
        <v>665</v>
      </c>
      <c r="R387" s="124" t="s">
        <v>681</v>
      </c>
      <c r="S387" s="124" t="s">
        <v>683</v>
      </c>
      <c r="T387" s="111"/>
      <c r="U387" s="109" t="s">
        <v>110</v>
      </c>
      <c r="V387" s="111">
        <v>2</v>
      </c>
      <c r="W387" s="111" t="s">
        <v>111</v>
      </c>
      <c r="X387" s="111">
        <v>0</v>
      </c>
      <c r="Y387" s="111">
        <v>1</v>
      </c>
      <c r="Z387" s="111">
        <v>1</v>
      </c>
      <c r="AA387" s="111" t="s">
        <v>177</v>
      </c>
      <c r="AB387" s="111" t="s">
        <v>104</v>
      </c>
      <c r="AC387" s="126"/>
      <c r="AD387" s="127"/>
    </row>
    <row r="388" spans="2:30" ht="86.4" x14ac:dyDescent="0.3">
      <c r="B388" s="276" t="s">
        <v>567</v>
      </c>
      <c r="C388" s="274" t="s">
        <v>471</v>
      </c>
      <c r="D388" s="282" t="s">
        <v>483</v>
      </c>
      <c r="Q388" s="117" t="s">
        <v>665</v>
      </c>
      <c r="R388" s="124" t="s">
        <v>684</v>
      </c>
      <c r="S388" s="124" t="s">
        <v>685</v>
      </c>
      <c r="T388" s="111"/>
      <c r="U388" s="109" t="s">
        <v>110</v>
      </c>
      <c r="V388" s="111">
        <v>3</v>
      </c>
      <c r="W388" s="111" t="s">
        <v>111</v>
      </c>
      <c r="X388" s="111">
        <v>0</v>
      </c>
      <c r="Y388" s="111">
        <v>1</v>
      </c>
      <c r="Z388" s="111">
        <v>1</v>
      </c>
      <c r="AA388" s="111" t="s">
        <v>177</v>
      </c>
      <c r="AB388" s="111" t="s">
        <v>104</v>
      </c>
      <c r="AC388" s="126"/>
      <c r="AD388" s="110"/>
    </row>
    <row r="389" spans="2:30" ht="43.2" x14ac:dyDescent="0.3">
      <c r="B389" s="276" t="s">
        <v>567</v>
      </c>
      <c r="C389" s="274" t="s">
        <v>473</v>
      </c>
      <c r="D389" s="282" t="s">
        <v>474</v>
      </c>
    </row>
    <row r="390" spans="2:30" ht="43.2" x14ac:dyDescent="0.3">
      <c r="B390" s="276" t="s">
        <v>567</v>
      </c>
      <c r="C390" s="274" t="s">
        <v>475</v>
      </c>
      <c r="D390" s="282" t="s">
        <v>484</v>
      </c>
    </row>
    <row r="391" spans="2:30" ht="28.8" x14ac:dyDescent="0.3">
      <c r="B391" s="276" t="s">
        <v>567</v>
      </c>
      <c r="C391" s="274" t="s">
        <v>477</v>
      </c>
      <c r="D391" s="282" t="s">
        <v>478</v>
      </c>
    </row>
    <row r="392" spans="2:30" ht="57.6" x14ac:dyDescent="0.3">
      <c r="B392" s="276" t="s">
        <v>567</v>
      </c>
      <c r="C392" s="274" t="s">
        <v>479</v>
      </c>
      <c r="D392" s="282" t="s">
        <v>485</v>
      </c>
    </row>
    <row r="393" spans="2:30" ht="360" x14ac:dyDescent="0.3">
      <c r="B393" s="276" t="s">
        <v>567</v>
      </c>
      <c r="C393" s="274" t="s">
        <v>481</v>
      </c>
      <c r="D393" s="282" t="s">
        <v>558</v>
      </c>
    </row>
    <row r="394" spans="2:30" ht="28.8" x14ac:dyDescent="0.3">
      <c r="B394" s="276" t="s">
        <v>568</v>
      </c>
      <c r="C394" s="274" t="s">
        <v>34</v>
      </c>
      <c r="D394" s="282" t="s">
        <v>156</v>
      </c>
    </row>
    <row r="395" spans="2:30" ht="28.8" x14ac:dyDescent="0.3">
      <c r="B395" s="276" t="s">
        <v>568</v>
      </c>
      <c r="C395" s="274" t="s">
        <v>35</v>
      </c>
      <c r="D395" s="282" t="s">
        <v>159</v>
      </c>
    </row>
    <row r="396" spans="2:30" ht="28.8" x14ac:dyDescent="0.3">
      <c r="B396" s="276" t="s">
        <v>568</v>
      </c>
      <c r="C396" s="274" t="s">
        <v>119</v>
      </c>
      <c r="D396" s="282" t="s">
        <v>157</v>
      </c>
    </row>
    <row r="397" spans="2:30" ht="28.8" x14ac:dyDescent="0.3">
      <c r="B397" s="276" t="s">
        <v>568</v>
      </c>
      <c r="C397" s="274" t="s">
        <v>45</v>
      </c>
      <c r="D397" s="282" t="s">
        <v>158</v>
      </c>
    </row>
    <row r="398" spans="2:30" ht="28.8" x14ac:dyDescent="0.3">
      <c r="B398" s="276" t="s">
        <v>568</v>
      </c>
      <c r="C398" s="274" t="s">
        <v>215</v>
      </c>
      <c r="D398" s="282" t="s">
        <v>467</v>
      </c>
    </row>
    <row r="399" spans="2:30" ht="28.8" x14ac:dyDescent="0.3">
      <c r="B399" s="276" t="s">
        <v>568</v>
      </c>
      <c r="C399" s="274" t="s">
        <v>468</v>
      </c>
      <c r="D399" s="282" t="s">
        <v>467</v>
      </c>
    </row>
    <row r="400" spans="2:30" ht="86.4" x14ac:dyDescent="0.3">
      <c r="B400" s="276" t="s">
        <v>568</v>
      </c>
      <c r="C400" s="274" t="s">
        <v>469</v>
      </c>
      <c r="D400" s="282" t="s">
        <v>470</v>
      </c>
    </row>
    <row r="401" spans="2:4" ht="86.4" x14ac:dyDescent="0.3">
      <c r="B401" s="276" t="s">
        <v>568</v>
      </c>
      <c r="C401" s="274" t="s">
        <v>471</v>
      </c>
      <c r="D401" s="282" t="s">
        <v>472</v>
      </c>
    </row>
    <row r="402" spans="2:4" ht="43.2" x14ac:dyDescent="0.3">
      <c r="B402" s="276" t="s">
        <v>568</v>
      </c>
      <c r="C402" s="274" t="s">
        <v>473</v>
      </c>
      <c r="D402" s="282" t="s">
        <v>474</v>
      </c>
    </row>
    <row r="403" spans="2:4" ht="43.2" x14ac:dyDescent="0.3">
      <c r="B403" s="276" t="s">
        <v>568</v>
      </c>
      <c r="C403" s="274" t="s">
        <v>475</v>
      </c>
      <c r="D403" s="282" t="s">
        <v>476</v>
      </c>
    </row>
    <row r="404" spans="2:4" ht="28.8" x14ac:dyDescent="0.3">
      <c r="B404" s="276" t="s">
        <v>568</v>
      </c>
      <c r="C404" s="274" t="s">
        <v>477</v>
      </c>
      <c r="D404" s="282" t="s">
        <v>478</v>
      </c>
    </row>
    <row r="405" spans="2:4" ht="57.6" x14ac:dyDescent="0.3">
      <c r="B405" s="276" t="s">
        <v>568</v>
      </c>
      <c r="C405" s="274" t="s">
        <v>479</v>
      </c>
      <c r="D405" s="282" t="s">
        <v>480</v>
      </c>
    </row>
    <row r="406" spans="2:4" ht="360" x14ac:dyDescent="0.3">
      <c r="B406" s="276" t="s">
        <v>568</v>
      </c>
      <c r="C406" s="274" t="s">
        <v>481</v>
      </c>
      <c r="D406" s="282" t="s">
        <v>558</v>
      </c>
    </row>
    <row r="407" spans="2:4" ht="28.8" x14ac:dyDescent="0.3">
      <c r="B407" s="276" t="s">
        <v>569</v>
      </c>
      <c r="C407" s="274" t="s">
        <v>34</v>
      </c>
      <c r="D407" s="282" t="s">
        <v>156</v>
      </c>
    </row>
    <row r="408" spans="2:4" ht="28.8" x14ac:dyDescent="0.3">
      <c r="B408" s="276" t="s">
        <v>569</v>
      </c>
      <c r="C408" s="274" t="s">
        <v>35</v>
      </c>
      <c r="D408" s="282" t="s">
        <v>159</v>
      </c>
    </row>
    <row r="409" spans="2:4" ht="28.8" x14ac:dyDescent="0.3">
      <c r="B409" s="276" t="s">
        <v>569</v>
      </c>
      <c r="C409" s="274" t="s">
        <v>119</v>
      </c>
      <c r="D409" s="282" t="s">
        <v>157</v>
      </c>
    </row>
    <row r="410" spans="2:4" ht="28.8" x14ac:dyDescent="0.3">
      <c r="B410" s="276" t="s">
        <v>569</v>
      </c>
      <c r="C410" s="274" t="s">
        <v>45</v>
      </c>
      <c r="D410" s="282" t="s">
        <v>158</v>
      </c>
    </row>
    <row r="411" spans="2:4" ht="28.8" x14ac:dyDescent="0.3">
      <c r="B411" s="276" t="s">
        <v>569</v>
      </c>
      <c r="C411" s="274" t="s">
        <v>215</v>
      </c>
      <c r="D411" s="282" t="s">
        <v>467</v>
      </c>
    </row>
    <row r="412" spans="2:4" ht="28.8" x14ac:dyDescent="0.3">
      <c r="B412" s="276" t="s">
        <v>569</v>
      </c>
      <c r="C412" s="274" t="s">
        <v>468</v>
      </c>
      <c r="D412" s="282" t="s">
        <v>467</v>
      </c>
    </row>
    <row r="413" spans="2:4" ht="100.8" x14ac:dyDescent="0.3">
      <c r="B413" s="276" t="s">
        <v>569</v>
      </c>
      <c r="C413" s="274" t="s">
        <v>469</v>
      </c>
      <c r="D413" s="282" t="s">
        <v>482</v>
      </c>
    </row>
    <row r="414" spans="2:4" ht="86.4" x14ac:dyDescent="0.3">
      <c r="B414" s="276" t="s">
        <v>569</v>
      </c>
      <c r="C414" s="274" t="s">
        <v>471</v>
      </c>
      <c r="D414" s="282" t="s">
        <v>483</v>
      </c>
    </row>
    <row r="415" spans="2:4" ht="43.2" x14ac:dyDescent="0.3">
      <c r="B415" s="276" t="s">
        <v>569</v>
      </c>
      <c r="C415" s="274" t="s">
        <v>473</v>
      </c>
      <c r="D415" s="282" t="s">
        <v>474</v>
      </c>
    </row>
    <row r="416" spans="2:4" ht="43.2" x14ac:dyDescent="0.3">
      <c r="B416" s="276" t="s">
        <v>569</v>
      </c>
      <c r="C416" s="274" t="s">
        <v>475</v>
      </c>
      <c r="D416" s="282" t="s">
        <v>484</v>
      </c>
    </row>
    <row r="417" spans="2:4" ht="28.8" x14ac:dyDescent="0.3">
      <c r="B417" s="276" t="s">
        <v>569</v>
      </c>
      <c r="C417" s="274" t="s">
        <v>477</v>
      </c>
      <c r="D417" s="282" t="s">
        <v>478</v>
      </c>
    </row>
    <row r="418" spans="2:4" ht="57.6" x14ac:dyDescent="0.3">
      <c r="B418" s="276" t="s">
        <v>569</v>
      </c>
      <c r="C418" s="274" t="s">
        <v>479</v>
      </c>
      <c r="D418" s="282" t="s">
        <v>485</v>
      </c>
    </row>
    <row r="419" spans="2:4" ht="360" x14ac:dyDescent="0.3">
      <c r="B419" s="276" t="s">
        <v>569</v>
      </c>
      <c r="C419" s="274" t="s">
        <v>481</v>
      </c>
      <c r="D419" s="282" t="s">
        <v>558</v>
      </c>
    </row>
    <row r="420" spans="2:4" ht="28.8" x14ac:dyDescent="0.3">
      <c r="B420" s="276" t="s">
        <v>570</v>
      </c>
      <c r="C420" s="274" t="s">
        <v>34</v>
      </c>
      <c r="D420" s="282" t="s">
        <v>156</v>
      </c>
    </row>
    <row r="421" spans="2:4" ht="28.8" x14ac:dyDescent="0.3">
      <c r="B421" s="276" t="s">
        <v>570</v>
      </c>
      <c r="C421" s="274" t="s">
        <v>35</v>
      </c>
      <c r="D421" s="282" t="s">
        <v>159</v>
      </c>
    </row>
    <row r="422" spans="2:4" ht="28.8" x14ac:dyDescent="0.3">
      <c r="B422" s="276" t="s">
        <v>570</v>
      </c>
      <c r="C422" s="274" t="s">
        <v>119</v>
      </c>
      <c r="D422" s="282" t="s">
        <v>157</v>
      </c>
    </row>
    <row r="423" spans="2:4" ht="28.8" x14ac:dyDescent="0.3">
      <c r="B423" s="276" t="s">
        <v>570</v>
      </c>
      <c r="C423" s="274" t="s">
        <v>45</v>
      </c>
      <c r="D423" s="282" t="s">
        <v>158</v>
      </c>
    </row>
    <row r="424" spans="2:4" ht="28.8" x14ac:dyDescent="0.3">
      <c r="B424" s="276" t="s">
        <v>570</v>
      </c>
      <c r="C424" s="274" t="s">
        <v>469</v>
      </c>
      <c r="D424" s="282" t="s">
        <v>95</v>
      </c>
    </row>
    <row r="425" spans="2:4" ht="28.8" x14ac:dyDescent="0.3">
      <c r="B425" s="276" t="s">
        <v>570</v>
      </c>
      <c r="C425" s="274" t="s">
        <v>471</v>
      </c>
      <c r="D425" s="282" t="s">
        <v>95</v>
      </c>
    </row>
    <row r="426" spans="2:4" ht="28.8" x14ac:dyDescent="0.3">
      <c r="B426" s="276" t="s">
        <v>570</v>
      </c>
      <c r="C426" s="274" t="s">
        <v>486</v>
      </c>
      <c r="D426" s="282" t="s">
        <v>95</v>
      </c>
    </row>
    <row r="427" spans="2:4" ht="28.8" x14ac:dyDescent="0.3">
      <c r="B427" s="276" t="s">
        <v>570</v>
      </c>
      <c r="C427" s="274" t="s">
        <v>487</v>
      </c>
      <c r="D427" s="282" t="s">
        <v>95</v>
      </c>
    </row>
    <row r="428" spans="2:4" ht="28.8" x14ac:dyDescent="0.3">
      <c r="B428" s="276" t="s">
        <v>570</v>
      </c>
      <c r="C428" s="274" t="s">
        <v>488</v>
      </c>
      <c r="D428" s="282" t="s">
        <v>95</v>
      </c>
    </row>
    <row r="429" spans="2:4" ht="28.8" x14ac:dyDescent="0.3">
      <c r="B429" s="276" t="s">
        <v>571</v>
      </c>
      <c r="C429" s="274" t="s">
        <v>34</v>
      </c>
      <c r="D429" s="282" t="s">
        <v>156</v>
      </c>
    </row>
    <row r="430" spans="2:4" ht="28.8" x14ac:dyDescent="0.3">
      <c r="B430" s="276" t="s">
        <v>571</v>
      </c>
      <c r="C430" s="274" t="s">
        <v>35</v>
      </c>
      <c r="D430" s="282" t="s">
        <v>159</v>
      </c>
    </row>
    <row r="431" spans="2:4" ht="28.8" x14ac:dyDescent="0.3">
      <c r="B431" s="276" t="s">
        <v>571</v>
      </c>
      <c r="C431" s="274" t="s">
        <v>119</v>
      </c>
      <c r="D431" s="282" t="s">
        <v>157</v>
      </c>
    </row>
    <row r="432" spans="2:4" ht="28.8" x14ac:dyDescent="0.3">
      <c r="B432" s="276" t="s">
        <v>571</v>
      </c>
      <c r="C432" s="274" t="s">
        <v>45</v>
      </c>
      <c r="D432" s="282" t="s">
        <v>158</v>
      </c>
    </row>
    <row r="433" spans="2:4" ht="28.8" x14ac:dyDescent="0.3">
      <c r="B433" s="276" t="s">
        <v>575</v>
      </c>
      <c r="C433" s="270" t="s">
        <v>34</v>
      </c>
      <c r="D433" s="281" t="s">
        <v>156</v>
      </c>
    </row>
    <row r="434" spans="2:4" ht="28.8" x14ac:dyDescent="0.3">
      <c r="B434" s="276" t="s">
        <v>575</v>
      </c>
      <c r="C434" s="274" t="s">
        <v>35</v>
      </c>
      <c r="D434" s="282" t="s">
        <v>159</v>
      </c>
    </row>
    <row r="435" spans="2:4" ht="28.8" x14ac:dyDescent="0.3">
      <c r="B435" s="276" t="s">
        <v>575</v>
      </c>
      <c r="C435" s="274" t="s">
        <v>119</v>
      </c>
      <c r="D435" s="282" t="s">
        <v>157</v>
      </c>
    </row>
    <row r="436" spans="2:4" ht="28.8" x14ac:dyDescent="0.3">
      <c r="B436" s="276" t="s">
        <v>575</v>
      </c>
      <c r="C436" s="274" t="s">
        <v>45</v>
      </c>
      <c r="D436" s="282" t="s">
        <v>158</v>
      </c>
    </row>
    <row r="437" spans="2:4" ht="100.8" x14ac:dyDescent="0.3">
      <c r="B437" s="276" t="s">
        <v>575</v>
      </c>
      <c r="C437" s="283" t="s">
        <v>576</v>
      </c>
      <c r="D437" s="284" t="s">
        <v>592</v>
      </c>
    </row>
    <row r="438" spans="2:4" ht="28.8" x14ac:dyDescent="0.3">
      <c r="B438" s="276" t="s">
        <v>575</v>
      </c>
      <c r="C438" s="274" t="s">
        <v>360</v>
      </c>
      <c r="D438" s="285" t="s">
        <v>590</v>
      </c>
    </row>
    <row r="439" spans="2:4" x14ac:dyDescent="0.3">
      <c r="B439" s="276" t="s">
        <v>575</v>
      </c>
      <c r="C439" s="274" t="s">
        <v>362</v>
      </c>
      <c r="D439" s="285" t="s">
        <v>591</v>
      </c>
    </row>
    <row r="440" spans="2:4" ht="28.8" x14ac:dyDescent="0.3">
      <c r="B440" s="276" t="s">
        <v>602</v>
      </c>
      <c r="C440" s="274" t="s">
        <v>34</v>
      </c>
      <c r="D440" s="285" t="s">
        <v>156</v>
      </c>
    </row>
    <row r="441" spans="2:4" ht="28.8" x14ac:dyDescent="0.3">
      <c r="B441" s="276" t="s">
        <v>602</v>
      </c>
      <c r="C441" s="274" t="s">
        <v>35</v>
      </c>
      <c r="D441" s="285" t="s">
        <v>159</v>
      </c>
    </row>
    <row r="442" spans="2:4" ht="28.8" x14ac:dyDescent="0.3">
      <c r="B442" s="276" t="s">
        <v>602</v>
      </c>
      <c r="C442" s="274" t="s">
        <v>119</v>
      </c>
      <c r="D442" s="285" t="s">
        <v>349</v>
      </c>
    </row>
    <row r="443" spans="2:4" ht="28.8" x14ac:dyDescent="0.3">
      <c r="B443" s="276" t="s">
        <v>602</v>
      </c>
      <c r="C443" s="274" t="s">
        <v>45</v>
      </c>
      <c r="D443" s="285" t="s">
        <v>158</v>
      </c>
    </row>
    <row r="444" spans="2:4" ht="28.8" x14ac:dyDescent="0.3">
      <c r="B444" s="276" t="s">
        <v>616</v>
      </c>
      <c r="C444" s="274" t="s">
        <v>34</v>
      </c>
      <c r="D444" s="285" t="s">
        <v>156</v>
      </c>
    </row>
    <row r="445" spans="2:4" ht="28.8" x14ac:dyDescent="0.3">
      <c r="B445" s="276" t="s">
        <v>616</v>
      </c>
      <c r="C445" s="274" t="s">
        <v>35</v>
      </c>
      <c r="D445" s="285" t="s">
        <v>159</v>
      </c>
    </row>
    <row r="446" spans="2:4" ht="28.8" x14ac:dyDescent="0.3">
      <c r="B446" s="276" t="s">
        <v>616</v>
      </c>
      <c r="C446" s="274" t="s">
        <v>119</v>
      </c>
      <c r="D446" s="285" t="s">
        <v>157</v>
      </c>
    </row>
    <row r="447" spans="2:4" ht="28.8" x14ac:dyDescent="0.3">
      <c r="B447" s="276" t="s">
        <v>616</v>
      </c>
      <c r="C447" s="274" t="s">
        <v>45</v>
      </c>
      <c r="D447" s="285" t="s">
        <v>158</v>
      </c>
    </row>
    <row r="448" spans="2:4" ht="28.8" x14ac:dyDescent="0.3">
      <c r="B448" s="276" t="s">
        <v>616</v>
      </c>
      <c r="C448" s="274" t="s">
        <v>215</v>
      </c>
      <c r="D448" s="285" t="s">
        <v>467</v>
      </c>
    </row>
    <row r="449" spans="2:4" ht="28.8" x14ac:dyDescent="0.3">
      <c r="B449" s="276" t="s">
        <v>616</v>
      </c>
      <c r="C449" s="274" t="s">
        <v>468</v>
      </c>
      <c r="D449" s="285" t="s">
        <v>467</v>
      </c>
    </row>
    <row r="450" spans="2:4" ht="28.8" x14ac:dyDescent="0.3">
      <c r="B450" s="276" t="s">
        <v>616</v>
      </c>
      <c r="C450" s="274" t="s">
        <v>504</v>
      </c>
      <c r="D450" s="285" t="s">
        <v>467</v>
      </c>
    </row>
    <row r="451" spans="2:4" ht="43.2" x14ac:dyDescent="0.3">
      <c r="B451" s="276" t="s">
        <v>616</v>
      </c>
      <c r="C451" s="274" t="s">
        <v>8</v>
      </c>
      <c r="D451" s="285" t="s">
        <v>617</v>
      </c>
    </row>
    <row r="452" spans="2:4" ht="28.8" x14ac:dyDescent="0.3">
      <c r="B452" s="276" t="s">
        <v>644</v>
      </c>
      <c r="C452" s="274" t="s">
        <v>34</v>
      </c>
      <c r="D452" s="285" t="s">
        <v>156</v>
      </c>
    </row>
    <row r="453" spans="2:4" ht="28.8" x14ac:dyDescent="0.3">
      <c r="B453" s="276" t="s">
        <v>644</v>
      </c>
      <c r="C453" s="274" t="s">
        <v>35</v>
      </c>
      <c r="D453" s="285" t="s">
        <v>159</v>
      </c>
    </row>
    <row r="454" spans="2:4" ht="28.8" x14ac:dyDescent="0.3">
      <c r="B454" s="276" t="s">
        <v>644</v>
      </c>
      <c r="C454" s="274" t="s">
        <v>119</v>
      </c>
      <c r="D454" s="285" t="s">
        <v>157</v>
      </c>
    </row>
    <row r="455" spans="2:4" ht="28.8" x14ac:dyDescent="0.3">
      <c r="B455" s="276" t="s">
        <v>644</v>
      </c>
      <c r="C455" s="274" t="s">
        <v>45</v>
      </c>
      <c r="D455" s="285" t="s">
        <v>158</v>
      </c>
    </row>
    <row r="456" spans="2:4" ht="28.8" x14ac:dyDescent="0.3">
      <c r="B456" s="276" t="s">
        <v>644</v>
      </c>
      <c r="C456" s="274" t="s">
        <v>215</v>
      </c>
      <c r="D456" s="285" t="s">
        <v>467</v>
      </c>
    </row>
    <row r="457" spans="2:4" ht="28.8" x14ac:dyDescent="0.3">
      <c r="B457" s="276" t="s">
        <v>644</v>
      </c>
      <c r="C457" s="274" t="s">
        <v>468</v>
      </c>
      <c r="D457" s="285" t="s">
        <v>467</v>
      </c>
    </row>
    <row r="458" spans="2:4" ht="28.8" x14ac:dyDescent="0.3">
      <c r="B458" s="276" t="s">
        <v>644</v>
      </c>
      <c r="C458" s="274" t="s">
        <v>504</v>
      </c>
      <c r="D458" s="285" t="s">
        <v>467</v>
      </c>
    </row>
    <row r="459" spans="2:4" ht="72" x14ac:dyDescent="0.3">
      <c r="B459" s="276" t="s">
        <v>644</v>
      </c>
      <c r="C459" s="274" t="s">
        <v>629</v>
      </c>
      <c r="D459" s="285" t="s">
        <v>636</v>
      </c>
    </row>
    <row r="460" spans="2:4" ht="28.8" x14ac:dyDescent="0.3">
      <c r="B460" s="300" t="s">
        <v>645</v>
      </c>
      <c r="C460" s="301" t="s">
        <v>34</v>
      </c>
      <c r="D460" s="302" t="s">
        <v>156</v>
      </c>
    </row>
    <row r="461" spans="2:4" ht="28.8" x14ac:dyDescent="0.3">
      <c r="B461" s="300" t="s">
        <v>645</v>
      </c>
      <c r="C461" s="301" t="s">
        <v>35</v>
      </c>
      <c r="D461" s="302" t="s">
        <v>159</v>
      </c>
    </row>
    <row r="462" spans="2:4" ht="28.8" x14ac:dyDescent="0.3">
      <c r="B462" s="300" t="s">
        <v>645</v>
      </c>
      <c r="C462" s="301" t="s">
        <v>119</v>
      </c>
      <c r="D462" s="302" t="s">
        <v>157</v>
      </c>
    </row>
    <row r="463" spans="2:4" ht="28.8" x14ac:dyDescent="0.3">
      <c r="B463" s="300" t="s">
        <v>645</v>
      </c>
      <c r="C463" s="301" t="s">
        <v>45</v>
      </c>
      <c r="D463" s="302" t="s">
        <v>158</v>
      </c>
    </row>
    <row r="464" spans="2:4" ht="28.8" x14ac:dyDescent="0.3">
      <c r="B464" s="300" t="s">
        <v>645</v>
      </c>
      <c r="C464" s="301" t="s">
        <v>215</v>
      </c>
      <c r="D464" s="302" t="s">
        <v>467</v>
      </c>
    </row>
    <row r="465" spans="2:4" ht="28.8" x14ac:dyDescent="0.3">
      <c r="B465" s="300" t="s">
        <v>645</v>
      </c>
      <c r="C465" s="301" t="s">
        <v>468</v>
      </c>
      <c r="D465" s="302" t="s">
        <v>467</v>
      </c>
    </row>
    <row r="466" spans="2:4" ht="28.8" x14ac:dyDescent="0.3">
      <c r="B466" s="300" t="s">
        <v>645</v>
      </c>
      <c r="C466" s="301" t="s">
        <v>504</v>
      </c>
      <c r="D466" s="302" t="s">
        <v>467</v>
      </c>
    </row>
    <row r="467" spans="2:4" ht="28.8" x14ac:dyDescent="0.3">
      <c r="B467" s="300" t="s">
        <v>645</v>
      </c>
      <c r="C467" s="301" t="s">
        <v>8</v>
      </c>
      <c r="D467" s="302" t="s">
        <v>646</v>
      </c>
    </row>
    <row r="468" spans="2:4" ht="28.8" x14ac:dyDescent="0.3">
      <c r="B468" s="300" t="s">
        <v>645</v>
      </c>
      <c r="C468" s="301" t="s">
        <v>13</v>
      </c>
      <c r="D468" s="302" t="s">
        <v>647</v>
      </c>
    </row>
    <row r="469" spans="2:4" ht="28.8" x14ac:dyDescent="0.3">
      <c r="B469" s="300" t="s">
        <v>645</v>
      </c>
      <c r="C469" s="301" t="s">
        <v>623</v>
      </c>
      <c r="D469" s="302" t="s">
        <v>648</v>
      </c>
    </row>
    <row r="470" spans="2:4" ht="43.2" x14ac:dyDescent="0.3">
      <c r="B470" s="300" t="s">
        <v>645</v>
      </c>
      <c r="C470" s="301" t="s">
        <v>547</v>
      </c>
      <c r="D470" s="302" t="s">
        <v>649</v>
      </c>
    </row>
    <row r="471" spans="2:4" ht="28.8" x14ac:dyDescent="0.3">
      <c r="B471" s="276" t="s">
        <v>659</v>
      </c>
      <c r="C471" s="274" t="s">
        <v>108</v>
      </c>
      <c r="D471" s="282"/>
    </row>
    <row r="472" spans="2:4" ht="28.8" x14ac:dyDescent="0.3">
      <c r="B472" s="276" t="s">
        <v>659</v>
      </c>
      <c r="C472" s="274" t="s">
        <v>116</v>
      </c>
      <c r="D472" s="285"/>
    </row>
    <row r="473" spans="2:4" ht="28.8" x14ac:dyDescent="0.3">
      <c r="B473" s="276" t="s">
        <v>659</v>
      </c>
      <c r="C473" s="274" t="s">
        <v>117</v>
      </c>
      <c r="D473" s="285"/>
    </row>
    <row r="474" spans="2:4" ht="28.8" x14ac:dyDescent="0.3">
      <c r="B474" s="276" t="s">
        <v>659</v>
      </c>
      <c r="C474" s="274" t="s">
        <v>118</v>
      </c>
      <c r="D474" s="285" t="s">
        <v>140</v>
      </c>
    </row>
    <row r="475" spans="2:4" ht="28.8" x14ac:dyDescent="0.3">
      <c r="B475" s="276" t="s">
        <v>659</v>
      </c>
      <c r="C475" s="274" t="s">
        <v>90</v>
      </c>
      <c r="D475" s="285"/>
    </row>
    <row r="476" spans="2:4" ht="28.8" x14ac:dyDescent="0.3">
      <c r="B476" s="276" t="s">
        <v>659</v>
      </c>
      <c r="C476" s="274" t="s">
        <v>96</v>
      </c>
      <c r="D476" s="285"/>
    </row>
    <row r="477" spans="2:4" ht="28.8" x14ac:dyDescent="0.3">
      <c r="B477" s="276" t="s">
        <v>659</v>
      </c>
      <c r="C477" s="274" t="s">
        <v>100</v>
      </c>
      <c r="D477" s="282"/>
    </row>
    <row r="478" spans="2:4" ht="28.8" x14ac:dyDescent="0.3">
      <c r="B478" s="276" t="s">
        <v>659</v>
      </c>
      <c r="C478" s="274" t="s">
        <v>34</v>
      </c>
      <c r="D478" s="285" t="s">
        <v>156</v>
      </c>
    </row>
    <row r="479" spans="2:4" ht="28.8" x14ac:dyDescent="0.3">
      <c r="B479" s="276" t="s">
        <v>659</v>
      </c>
      <c r="C479" s="274" t="s">
        <v>119</v>
      </c>
      <c r="D479" s="285" t="s">
        <v>440</v>
      </c>
    </row>
    <row r="480" spans="2:4" ht="28.8" x14ac:dyDescent="0.3">
      <c r="B480" s="276" t="s">
        <v>659</v>
      </c>
      <c r="C480" s="274" t="s">
        <v>45</v>
      </c>
      <c r="D480" s="285" t="s">
        <v>158</v>
      </c>
    </row>
    <row r="481" spans="2:4" ht="28.8" x14ac:dyDescent="0.3">
      <c r="B481" s="276" t="s">
        <v>659</v>
      </c>
      <c r="C481" s="274" t="s">
        <v>35</v>
      </c>
      <c r="D481" s="285" t="s">
        <v>159</v>
      </c>
    </row>
    <row r="482" spans="2:4" ht="28.8" x14ac:dyDescent="0.3">
      <c r="B482" s="276" t="s">
        <v>662</v>
      </c>
      <c r="C482" s="274" t="s">
        <v>34</v>
      </c>
      <c r="D482" s="285" t="s">
        <v>156</v>
      </c>
    </row>
    <row r="483" spans="2:4" ht="28.8" x14ac:dyDescent="0.3">
      <c r="B483" s="276" t="s">
        <v>662</v>
      </c>
      <c r="C483" s="274" t="s">
        <v>35</v>
      </c>
      <c r="D483" s="285" t="s">
        <v>159</v>
      </c>
    </row>
    <row r="484" spans="2:4" ht="28.8" x14ac:dyDescent="0.3">
      <c r="B484" s="276" t="s">
        <v>662</v>
      </c>
      <c r="C484" s="274" t="s">
        <v>119</v>
      </c>
      <c r="D484" s="285" t="s">
        <v>349</v>
      </c>
    </row>
    <row r="485" spans="2:4" ht="28.8" x14ac:dyDescent="0.3">
      <c r="B485" s="276" t="s">
        <v>662</v>
      </c>
      <c r="C485" s="274" t="s">
        <v>45</v>
      </c>
      <c r="D485" s="285" t="s">
        <v>158</v>
      </c>
    </row>
    <row r="486" spans="2:4" ht="57.6" x14ac:dyDescent="0.3">
      <c r="B486" s="276" t="s">
        <v>662</v>
      </c>
      <c r="C486" s="274" t="s">
        <v>393</v>
      </c>
      <c r="D486" s="285" t="s">
        <v>394</v>
      </c>
    </row>
    <row r="487" spans="2:4" ht="72" x14ac:dyDescent="0.3">
      <c r="B487" s="276" t="s">
        <v>662</v>
      </c>
      <c r="C487" s="274" t="s">
        <v>374</v>
      </c>
      <c r="D487" s="285" t="s">
        <v>395</v>
      </c>
    </row>
    <row r="488" spans="2:4" ht="28.8" x14ac:dyDescent="0.3">
      <c r="B488" s="276" t="s">
        <v>662</v>
      </c>
      <c r="C488" s="274" t="s">
        <v>360</v>
      </c>
      <c r="D488" s="285" t="s">
        <v>391</v>
      </c>
    </row>
    <row r="489" spans="2:4" ht="28.8" x14ac:dyDescent="0.3">
      <c r="B489" s="276" t="s">
        <v>662</v>
      </c>
      <c r="C489" s="274" t="s">
        <v>362</v>
      </c>
      <c r="D489" s="285" t="s">
        <v>392</v>
      </c>
    </row>
    <row r="490" spans="2:4" ht="144" x14ac:dyDescent="0.3">
      <c r="B490" s="276" t="s">
        <v>662</v>
      </c>
      <c r="C490" s="274" t="s">
        <v>365</v>
      </c>
      <c r="D490" s="285" t="s">
        <v>375</v>
      </c>
    </row>
    <row r="491" spans="2:4" ht="158.4" x14ac:dyDescent="0.3">
      <c r="B491" s="276" t="s">
        <v>662</v>
      </c>
      <c r="C491" s="274" t="s">
        <v>364</v>
      </c>
      <c r="D491" s="285" t="s">
        <v>376</v>
      </c>
    </row>
    <row r="492" spans="2:4" ht="201.6" x14ac:dyDescent="0.3">
      <c r="B492" s="276" t="s">
        <v>662</v>
      </c>
      <c r="C492" s="274" t="s">
        <v>377</v>
      </c>
      <c r="D492" s="285" t="s">
        <v>656</v>
      </c>
    </row>
    <row r="493" spans="2:4" ht="43.2" x14ac:dyDescent="0.3">
      <c r="B493" s="276" t="s">
        <v>662</v>
      </c>
      <c r="C493" s="274" t="s">
        <v>368</v>
      </c>
      <c r="D493" s="285" t="s">
        <v>390</v>
      </c>
    </row>
    <row r="494" spans="2:4" ht="43.2" x14ac:dyDescent="0.3">
      <c r="B494" s="276" t="s">
        <v>662</v>
      </c>
      <c r="C494" s="274" t="s">
        <v>366</v>
      </c>
      <c r="D494" s="285" t="s">
        <v>378</v>
      </c>
    </row>
    <row r="495" spans="2:4" ht="57.6" x14ac:dyDescent="0.3">
      <c r="B495" s="276" t="s">
        <v>662</v>
      </c>
      <c r="C495" s="274" t="s">
        <v>370</v>
      </c>
      <c r="D495" s="285" t="s">
        <v>379</v>
      </c>
    </row>
    <row r="496" spans="2:4" ht="28.8" x14ac:dyDescent="0.3">
      <c r="B496" s="276" t="s">
        <v>660</v>
      </c>
      <c r="C496" s="274" t="s">
        <v>34</v>
      </c>
      <c r="D496" s="285" t="s">
        <v>156</v>
      </c>
    </row>
    <row r="497" spans="2:4" ht="28.8" x14ac:dyDescent="0.3">
      <c r="B497" s="276" t="s">
        <v>660</v>
      </c>
      <c r="C497" s="274" t="s">
        <v>35</v>
      </c>
      <c r="D497" s="285" t="s">
        <v>159</v>
      </c>
    </row>
    <row r="498" spans="2:4" ht="28.8" x14ac:dyDescent="0.3">
      <c r="B498" s="276" t="s">
        <v>660</v>
      </c>
      <c r="C498" s="274" t="s">
        <v>119</v>
      </c>
      <c r="D498" s="285" t="s">
        <v>349</v>
      </c>
    </row>
    <row r="499" spans="2:4" ht="28.8" x14ac:dyDescent="0.3">
      <c r="B499" s="276" t="s">
        <v>660</v>
      </c>
      <c r="C499" s="274" t="s">
        <v>45</v>
      </c>
      <c r="D499" s="285" t="s">
        <v>158</v>
      </c>
    </row>
    <row r="500" spans="2:4" ht="28.8" x14ac:dyDescent="0.3">
      <c r="B500" s="276" t="s">
        <v>661</v>
      </c>
      <c r="C500" s="274" t="s">
        <v>34</v>
      </c>
      <c r="D500" s="285" t="s">
        <v>156</v>
      </c>
    </row>
    <row r="501" spans="2:4" ht="28.8" x14ac:dyDescent="0.3">
      <c r="B501" s="276" t="s">
        <v>661</v>
      </c>
      <c r="C501" s="274" t="s">
        <v>35</v>
      </c>
      <c r="D501" s="285" t="s">
        <v>159</v>
      </c>
    </row>
    <row r="502" spans="2:4" ht="28.8" x14ac:dyDescent="0.3">
      <c r="B502" s="276" t="s">
        <v>661</v>
      </c>
      <c r="C502" s="274" t="s">
        <v>119</v>
      </c>
      <c r="D502" s="285" t="s">
        <v>157</v>
      </c>
    </row>
    <row r="503" spans="2:4" ht="28.8" x14ac:dyDescent="0.3">
      <c r="B503" s="276" t="s">
        <v>661</v>
      </c>
      <c r="C503" s="274" t="s">
        <v>45</v>
      </c>
      <c r="D503" s="285" t="s">
        <v>158</v>
      </c>
    </row>
    <row r="504" spans="2:4" ht="273.60000000000002" x14ac:dyDescent="0.3">
      <c r="B504" s="276" t="s">
        <v>661</v>
      </c>
      <c r="C504" s="274" t="s">
        <v>337</v>
      </c>
      <c r="D504" s="285" t="s">
        <v>343</v>
      </c>
    </row>
    <row r="505" spans="2:4" ht="100.8" x14ac:dyDescent="0.3">
      <c r="B505" s="276" t="s">
        <v>661</v>
      </c>
      <c r="C505" s="274" t="s">
        <v>339</v>
      </c>
      <c r="D505" s="285" t="s">
        <v>340</v>
      </c>
    </row>
    <row r="506" spans="2:4" ht="244.8" x14ac:dyDescent="0.3">
      <c r="B506" s="276" t="s">
        <v>661</v>
      </c>
      <c r="C506" s="274" t="s">
        <v>96</v>
      </c>
      <c r="D506" s="285" t="s">
        <v>344</v>
      </c>
    </row>
    <row r="507" spans="2:4" ht="43.2" x14ac:dyDescent="0.3">
      <c r="B507" s="276" t="s">
        <v>661</v>
      </c>
      <c r="C507" s="274" t="s">
        <v>90</v>
      </c>
      <c r="D507" s="285" t="s">
        <v>341</v>
      </c>
    </row>
    <row r="508" spans="2:4" ht="244.8" x14ac:dyDescent="0.3">
      <c r="B508" s="276" t="s">
        <v>661</v>
      </c>
      <c r="C508" s="274" t="s">
        <v>346</v>
      </c>
      <c r="D508" s="285" t="s">
        <v>347</v>
      </c>
    </row>
    <row r="509" spans="2:4" ht="28.8" x14ac:dyDescent="0.3">
      <c r="B509" s="276" t="s">
        <v>661</v>
      </c>
      <c r="C509" s="274" t="s">
        <v>595</v>
      </c>
      <c r="D509" s="285" t="s">
        <v>596</v>
      </c>
    </row>
    <row r="510" spans="2:4" ht="28.8" x14ac:dyDescent="0.3">
      <c r="B510" s="300" t="s">
        <v>663</v>
      </c>
      <c r="C510" s="301" t="s">
        <v>34</v>
      </c>
      <c r="D510" s="302" t="s">
        <v>156</v>
      </c>
    </row>
    <row r="511" spans="2:4" ht="28.8" x14ac:dyDescent="0.3">
      <c r="B511" s="300" t="s">
        <v>663</v>
      </c>
      <c r="C511" s="301" t="s">
        <v>35</v>
      </c>
      <c r="D511" s="302" t="s">
        <v>159</v>
      </c>
    </row>
  </sheetData>
  <dataValidations count="1">
    <dataValidation type="textLength" showInputMessage="1" showErrorMessage="1" sqref="J3:J37 F3:F45 I3:I42" xr:uid="{826960DB-F554-4236-A905-20C250D48DD0}">
      <formula1>1</formula1>
      <formula2>31</formula2>
    </dataValidation>
  </dataValidations>
  <pageMargins left="0.7" right="0.7" top="0.75" bottom="0.75" header="0.3" footer="0.3"/>
  <legacyDrawing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FAFA2-41FC-45D9-8041-5BBA6500FBC9}">
  <sheetPr codeName="Sheet20">
    <tabColor rgb="FF00B450"/>
    <pageSetUpPr fitToPage="1"/>
  </sheetPr>
  <dimension ref="B1:D2578"/>
  <sheetViews>
    <sheetView showGridLines="0" showRowColHeaders="0" zoomScale="80" zoomScaleNormal="8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D12" sqref="D12"/>
    </sheetView>
  </sheetViews>
  <sheetFormatPr defaultRowHeight="14.4" x14ac:dyDescent="0.3"/>
  <cols>
    <col min="1" max="1" width="1.6640625" customWidth="1"/>
    <col min="2" max="2" width="20.5546875" bestFit="1" customWidth="1"/>
    <col min="3" max="4" width="17.33203125" bestFit="1" customWidth="1"/>
    <col min="5" max="6" width="14.109375" bestFit="1" customWidth="1"/>
    <col min="7" max="7" width="12.5546875" bestFit="1" customWidth="1"/>
    <col min="8" max="12" width="8.6640625" bestFit="1" customWidth="1"/>
    <col min="13" max="13" width="12.6640625" customWidth="1"/>
    <col min="14" max="26" width="20" customWidth="1"/>
  </cols>
  <sheetData>
    <row r="1" spans="2:4" ht="60" customHeight="1" x14ac:dyDescent="0.3"/>
    <row r="2" spans="2:4" ht="60" customHeight="1" x14ac:dyDescent="0.3"/>
    <row r="3" spans="2:4" x14ac:dyDescent="0.3">
      <c r="B3" s="73"/>
      <c r="C3" s="74"/>
      <c r="D3" s="75"/>
    </row>
    <row r="4" spans="2:4" x14ac:dyDescent="0.3">
      <c r="B4" s="76"/>
      <c r="C4" s="77"/>
      <c r="D4" s="78"/>
    </row>
    <row r="5" spans="2:4" x14ac:dyDescent="0.3">
      <c r="B5" s="76"/>
      <c r="C5" s="77"/>
      <c r="D5" s="78"/>
    </row>
    <row r="6" spans="2:4" x14ac:dyDescent="0.3">
      <c r="B6" s="76"/>
      <c r="C6" s="77"/>
      <c r="D6" s="78"/>
    </row>
    <row r="7" spans="2:4" x14ac:dyDescent="0.3">
      <c r="B7" s="76"/>
      <c r="C7" s="77"/>
      <c r="D7" s="78"/>
    </row>
    <row r="8" spans="2:4" x14ac:dyDescent="0.3">
      <c r="B8" s="76"/>
      <c r="C8" s="77"/>
      <c r="D8" s="78"/>
    </row>
    <row r="9" spans="2:4" x14ac:dyDescent="0.3">
      <c r="B9" s="76"/>
      <c r="C9" s="77"/>
      <c r="D9" s="78"/>
    </row>
    <row r="10" spans="2:4" x14ac:dyDescent="0.3">
      <c r="B10" s="76"/>
      <c r="C10" s="77"/>
      <c r="D10" s="78"/>
    </row>
    <row r="11" spans="2:4" x14ac:dyDescent="0.3">
      <c r="B11" s="76"/>
      <c r="C11" s="77"/>
      <c r="D11" s="78"/>
    </row>
    <row r="12" spans="2:4" x14ac:dyDescent="0.3">
      <c r="B12" s="76"/>
      <c r="C12" s="77"/>
      <c r="D12" s="78"/>
    </row>
    <row r="13" spans="2:4" x14ac:dyDescent="0.3">
      <c r="B13" s="76"/>
      <c r="C13" s="77"/>
      <c r="D13" s="78"/>
    </row>
    <row r="14" spans="2:4" x14ac:dyDescent="0.3">
      <c r="B14" s="76"/>
      <c r="C14" s="77"/>
      <c r="D14" s="78"/>
    </row>
    <row r="15" spans="2:4" x14ac:dyDescent="0.3">
      <c r="B15" s="76"/>
      <c r="C15" s="77"/>
      <c r="D15" s="78"/>
    </row>
    <row r="16" spans="2:4" x14ac:dyDescent="0.3">
      <c r="B16" s="76"/>
      <c r="C16" s="77"/>
      <c r="D16" s="78"/>
    </row>
    <row r="17" spans="2:4" x14ac:dyDescent="0.3">
      <c r="B17" s="76"/>
      <c r="C17" s="77"/>
      <c r="D17" s="78"/>
    </row>
    <row r="18" spans="2:4" x14ac:dyDescent="0.3">
      <c r="B18" s="76"/>
      <c r="C18" s="77"/>
      <c r="D18" s="78"/>
    </row>
    <row r="19" spans="2:4" x14ac:dyDescent="0.3">
      <c r="B19" s="76"/>
      <c r="C19" s="77"/>
      <c r="D19" s="78"/>
    </row>
    <row r="20" spans="2:4" x14ac:dyDescent="0.3">
      <c r="B20" s="79"/>
      <c r="C20" s="80"/>
      <c r="D20" s="81"/>
    </row>
    <row r="2577" ht="15.75" customHeight="1" thickBot="1" x14ac:dyDescent="0.35"/>
    <row r="2578" ht="15.75" customHeight="1" thickTop="1" x14ac:dyDescent="0.3"/>
  </sheetData>
  <printOptions horizontalCentered="1"/>
  <pageMargins left="0.70899999999999996" right="0.70899999999999996" top="0.59" bottom="0.51" header="0.12000000000000001" footer="0.12000000000000001"/>
  <pageSetup paperSize="9" scale="81" fitToHeight="0" orientation="landscape" horizontalDpi="300" verticalDpi="0" r:id="rId2"/>
  <headerFooter>
    <oddHeader>&amp;C&amp;"Amasis MT Pro Black,Regular"&amp;14 MOUVEMENTS DE STOCK DU CAFE &amp;E</oddHeader>
    <oddFooter>&amp;L&amp;"Amasis MT Pro,Regular"&amp;9Powered by FINDAP&amp;C&amp;"Amasis MT Pro,Regular"&amp;9Page &amp;P of &amp;N&amp;R&amp;"Amasis MT Pro,Regular"&amp;9Preparé le 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733C3-4F48-4310-AC77-2169380B8BEE}">
  <sheetPr codeName="Sheet1">
    <tabColor theme="1" tint="0.249977111117893"/>
  </sheetPr>
  <dimension ref="C1:Z9"/>
  <sheetViews>
    <sheetView showGridLines="0" showRowColHeaders="0" tabSelected="1" zoomScale="80" zoomScaleNormal="80" workbookViewId="0">
      <pane ySplit="5" topLeftCell="A6" activePane="bottomLeft" state="frozen"/>
      <selection pane="bottomLeft"/>
    </sheetView>
  </sheetViews>
  <sheetFormatPr defaultColWidth="9.109375" defaultRowHeight="13.2" x14ac:dyDescent="0.25"/>
  <cols>
    <col min="1" max="9" width="20" style="10" customWidth="1"/>
    <col min="10" max="21" width="9.109375" style="10"/>
    <col min="22" max="24" width="11.5546875" style="10" bestFit="1" customWidth="1"/>
    <col min="25" max="25" width="9.109375" style="10"/>
    <col min="26" max="26" width="16.109375" style="10" bestFit="1" customWidth="1"/>
    <col min="27" max="16384" width="9.109375" style="10"/>
  </cols>
  <sheetData>
    <row r="1" spans="3:26" x14ac:dyDescent="0.25">
      <c r="V1" s="11" t="s">
        <v>0</v>
      </c>
      <c r="W1" s="11" t="s">
        <v>1</v>
      </c>
      <c r="X1" s="11" t="s">
        <v>2</v>
      </c>
      <c r="Z1" s="13" t="s">
        <v>3</v>
      </c>
    </row>
    <row r="2" spans="3:26" ht="6.75" customHeight="1" x14ac:dyDescent="0.25">
      <c r="C2" s="16"/>
      <c r="V2" s="11"/>
      <c r="W2" s="11"/>
      <c r="X2" s="11"/>
      <c r="Z2" s="15"/>
    </row>
    <row r="3" spans="3:26" x14ac:dyDescent="0.25">
      <c r="V3" s="11"/>
      <c r="W3" s="11"/>
      <c r="X3" s="11"/>
      <c r="Z3" s="12" t="s">
        <v>4</v>
      </c>
    </row>
    <row r="4" spans="3:26" x14ac:dyDescent="0.25">
      <c r="Z4" s="12" t="s">
        <v>5</v>
      </c>
    </row>
    <row r="5" spans="3:26" ht="40.049999999999997" customHeight="1" x14ac:dyDescent="0.25">
      <c r="C5" s="82"/>
      <c r="D5" s="83"/>
      <c r="Z5" s="14" t="s">
        <v>6</v>
      </c>
    </row>
    <row r="6" spans="3:26" ht="34.950000000000003" customHeight="1" x14ac:dyDescent="0.25">
      <c r="C6" s="316"/>
      <c r="D6" s="317"/>
    </row>
    <row r="8" spans="3:26" ht="25.05" customHeight="1" x14ac:dyDescent="0.25"/>
    <row r="9" spans="3:26" ht="25.05" customHeight="1" x14ac:dyDescent="0.25"/>
  </sheetData>
  <dataConsolidate link="1"/>
  <mergeCells count="1">
    <mergeCell ref="C6:D6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_cmd_GlobalAnalysis_normal">
              <controlPr locked="0" defaultSize="0" print="0" autoFill="0" autoPict="0" macro="[0]!btn_cmd_GlobalAnalysis_normal_Click">
                <anchor>
                  <from>
                    <xdr:col>0</xdr:col>
                    <xdr:colOff>236220</xdr:colOff>
                    <xdr:row>0</xdr:row>
                    <xdr:rowOff>60960</xdr:rowOff>
                  </from>
                  <to>
                    <xdr:col>1</xdr:col>
                    <xdr:colOff>1135380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tton4_Click">
                <anchor>
                  <from>
                    <xdr:col>2</xdr:col>
                    <xdr:colOff>289560</xdr:colOff>
                    <xdr:row>0</xdr:row>
                    <xdr:rowOff>53340</xdr:rowOff>
                  </from>
                  <to>
                    <xdr:col>3</xdr:col>
                    <xdr:colOff>1188720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tn_cmd_CombineddataSummary">
              <controlPr defaultSize="0" print="0" autoFill="0" autoPict="0" macro="[0]!btn_cmd_CombineddataSummary_Click">
                <anchor moveWithCells="1">
                  <from>
                    <xdr:col>4</xdr:col>
                    <xdr:colOff>236220</xdr:colOff>
                    <xdr:row>0</xdr:row>
                    <xdr:rowOff>60960</xdr:rowOff>
                  </from>
                  <to>
                    <xdr:col>5</xdr:col>
                    <xdr:colOff>1135380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bx_includeEbmdailysummary">
              <controlPr defaultSize="0" autoFill="0" autoLine="0" autoPict="0">
                <anchor>
                  <from>
                    <xdr:col>5</xdr:col>
                    <xdr:colOff>1242060</xdr:colOff>
                    <xdr:row>0</xdr:row>
                    <xdr:rowOff>121920</xdr:rowOff>
                  </from>
                  <to>
                    <xdr:col>7</xdr:col>
                    <xdr:colOff>297180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bx_includePayables">
              <controlPr defaultSize="0" autoFill="0" autoLine="0" autoPict="0">
                <anchor>
                  <from>
                    <xdr:col>5</xdr:col>
                    <xdr:colOff>1234440</xdr:colOff>
                    <xdr:row>2</xdr:row>
                    <xdr:rowOff>152400</xdr:rowOff>
                  </from>
                  <to>
                    <xdr:col>7</xdr:col>
                    <xdr:colOff>289560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chbx_include_EbmEtaxPurchases">
              <controlPr defaultSize="0" autoFill="0" autoLine="0" autoPict="0">
                <anchor>
                  <from>
                    <xdr:col>3</xdr:col>
                    <xdr:colOff>967740</xdr:colOff>
                    <xdr:row>7</xdr:row>
                    <xdr:rowOff>45720</xdr:rowOff>
                  </from>
                  <to>
                    <xdr:col>5</xdr:col>
                    <xdr:colOff>22860</xdr:colOff>
                    <xdr:row>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chbx_include_EbmEtaxSales">
              <controlPr defaultSize="0" autoFill="0" autoLine="0" autoPict="0">
                <anchor>
                  <from>
                    <xdr:col>3</xdr:col>
                    <xdr:colOff>967740</xdr:colOff>
                    <xdr:row>8</xdr:row>
                    <xdr:rowOff>137160</xdr:rowOff>
                  </from>
                  <to>
                    <xdr:col>5</xdr:col>
                    <xdr:colOff>22860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chbx_include_EtaxEbmSales">
              <controlPr defaultSize="0" autoFill="0" autoLine="0" autoPict="0">
                <anchor>
                  <from>
                    <xdr:col>5</xdr:col>
                    <xdr:colOff>114300</xdr:colOff>
                    <xdr:row>8</xdr:row>
                    <xdr:rowOff>137160</xdr:rowOff>
                  </from>
                  <to>
                    <xdr:col>6</xdr:col>
                    <xdr:colOff>541020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chbx_include_EtaxEbmPurchases">
              <controlPr defaultSize="0" autoFill="0" autoLine="0" autoPict="0">
                <anchor>
                  <from>
                    <xdr:col>5</xdr:col>
                    <xdr:colOff>121920</xdr:colOff>
                    <xdr:row>7</xdr:row>
                    <xdr:rowOff>45720</xdr:rowOff>
                  </from>
                  <to>
                    <xdr:col>6</xdr:col>
                    <xdr:colOff>548640</xdr:colOff>
                    <xdr:row>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EbmEtax_comparison_frame">
              <controlPr defaultSize="0" autoFill="0" autoPict="0" altText="EBM DATA vs ETAX (Declared) DATA COMPARISON">
                <anchor>
                  <from>
                    <xdr:col>3</xdr:col>
                    <xdr:colOff>906780</xdr:colOff>
                    <xdr:row>6</xdr:row>
                    <xdr:rowOff>53340</xdr:rowOff>
                  </from>
                  <to>
                    <xdr:col>6</xdr:col>
                    <xdr:colOff>617220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chbx_include_EbmBoZreport_Sales">
              <controlPr defaultSize="0" autoFill="0" autoLine="0" autoPict="0">
                <anchor>
                  <from>
                    <xdr:col>4</xdr:col>
                    <xdr:colOff>358140</xdr:colOff>
                    <xdr:row>10</xdr:row>
                    <xdr:rowOff>76200</xdr:rowOff>
                  </from>
                  <to>
                    <xdr:col>5</xdr:col>
                    <xdr:colOff>1143000</xdr:colOff>
                    <xdr:row>12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34D89-0BA5-4B88-9BDF-19857C92ED8B}">
  <sheetPr codeName="Sheet19">
    <tabColor theme="7" tint="-0.249977111117893"/>
  </sheetPr>
  <dimension ref="A1:D6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"/>
    </sheetView>
  </sheetViews>
  <sheetFormatPr defaultColWidth="32.109375" defaultRowHeight="14.4" x14ac:dyDescent="0.3"/>
  <cols>
    <col min="1" max="1" width="30.109375" bestFit="1" customWidth="1"/>
    <col min="2" max="2" width="23.77734375" bestFit="1" customWidth="1"/>
    <col min="3" max="3" width="26" bestFit="1" customWidth="1"/>
    <col min="4" max="4" width="16.77734375" bestFit="1" customWidth="1"/>
  </cols>
  <sheetData>
    <row r="1" spans="1:4" x14ac:dyDescent="0.3">
      <c r="A1" s="162" t="s">
        <v>381</v>
      </c>
      <c r="B1" s="163" t="s">
        <v>382</v>
      </c>
      <c r="C1" s="163" t="s">
        <v>358</v>
      </c>
      <c r="D1" s="164" t="s">
        <v>383</v>
      </c>
    </row>
    <row r="2" spans="1:4" x14ac:dyDescent="0.3">
      <c r="A2" s="165" t="str">
        <f>CONCATENATE(tbl_tobecalculated[[#This Row],[TRANSACTION TYPE]],tbl_tobecalculated[[#This Row],[TRANSACTION ORIGIN]])</f>
        <v>EXTERNAL_PAYMENTMOMO MTN</v>
      </c>
      <c r="B2" s="166" t="s">
        <v>384</v>
      </c>
      <c r="C2" s="166" t="s">
        <v>385</v>
      </c>
      <c r="D2" s="167">
        <v>-1</v>
      </c>
    </row>
    <row r="3" spans="1:4" x14ac:dyDescent="0.3">
      <c r="A3" s="165" t="str">
        <f>CONCATENATE(tbl_tobecalculated[[#This Row],[TRANSACTION TYPE]],tbl_tobecalculated[[#This Row],[TRANSACTION ORIGIN]])</f>
        <v>PAYMENTMOMO MTN</v>
      </c>
      <c r="B3" s="168" t="s">
        <v>386</v>
      </c>
      <c r="C3" s="168" t="s">
        <v>385</v>
      </c>
      <c r="D3" s="167">
        <v>1</v>
      </c>
    </row>
    <row r="4" spans="1:4" x14ac:dyDescent="0.3">
      <c r="A4" s="165" t="str">
        <f>CONCATENATE(tbl_tobecalculated[[#This Row],[TRANSACTION TYPE]],tbl_tobecalculated[[#This Row],[TRANSACTION ORIGIN]])</f>
        <v>CASH_INMOMO MTN</v>
      </c>
      <c r="B4" s="168" t="s">
        <v>387</v>
      </c>
      <c r="C4" s="168" t="s">
        <v>385</v>
      </c>
      <c r="D4" s="167">
        <v>-1</v>
      </c>
    </row>
    <row r="5" spans="1:4" x14ac:dyDescent="0.3">
      <c r="A5" s="165" t="str">
        <f>CONCATENATE(tbl_tobecalculated[[#This Row],[TRANSACTION TYPE]],tbl_tobecalculated[[#This Row],[TRANSACTION ORIGIN]])</f>
        <v>TRANSFERMOMO MTN</v>
      </c>
      <c r="B5" s="166" t="s">
        <v>388</v>
      </c>
      <c r="C5" s="166" t="s">
        <v>385</v>
      </c>
      <c r="D5" s="167">
        <v>-1</v>
      </c>
    </row>
    <row r="6" spans="1:4" x14ac:dyDescent="0.3">
      <c r="A6" s="169" t="str">
        <f>CONCATENATE(tbl_tobecalculated[[#This Row],[TRANSACTION TYPE]],tbl_tobecalculated[[#This Row],[TRANSACTION ORIGIN]])</f>
        <v>Cash inMOMO MTN</v>
      </c>
      <c r="B6" s="170" t="s">
        <v>389</v>
      </c>
      <c r="C6" s="170" t="s">
        <v>385</v>
      </c>
      <c r="D6" s="171">
        <v>-1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E6E7-CBB1-4C94-84AF-D8D58B13C0B7}">
  <sheetPr codeName="Sheet21"/>
  <dimension ref="A1:E9"/>
  <sheetViews>
    <sheetView zoomScale="80" zoomScaleNormal="80" workbookViewId="0">
      <selection activeCell="E4" sqref="E4"/>
    </sheetView>
  </sheetViews>
  <sheetFormatPr defaultColWidth="33.5546875" defaultRowHeight="14.4" x14ac:dyDescent="0.3"/>
  <cols>
    <col min="3" max="3" width="10.21875" customWidth="1"/>
    <col min="4" max="4" width="26.33203125" bestFit="1" customWidth="1"/>
    <col min="5" max="5" width="13.33203125" customWidth="1"/>
  </cols>
  <sheetData>
    <row r="1" spans="1:5" ht="15" thickTop="1" x14ac:dyDescent="0.3">
      <c r="A1" s="145" t="s">
        <v>281</v>
      </c>
      <c r="B1" s="146" t="s">
        <v>282</v>
      </c>
      <c r="D1" s="186" t="s">
        <v>505</v>
      </c>
      <c r="E1" s="187" t="s">
        <v>506</v>
      </c>
    </row>
    <row r="2" spans="1:5" x14ac:dyDescent="0.3">
      <c r="A2" s="142" t="s">
        <v>283</v>
      </c>
      <c r="B2" s="144" t="s">
        <v>284</v>
      </c>
      <c r="D2" s="188" t="s">
        <v>460</v>
      </c>
      <c r="E2" s="189"/>
    </row>
    <row r="3" spans="1:5" x14ac:dyDescent="0.3">
      <c r="A3" s="143" t="s">
        <v>285</v>
      </c>
      <c r="B3" s="141" t="s">
        <v>286</v>
      </c>
      <c r="D3" s="190" t="s">
        <v>461</v>
      </c>
      <c r="E3" s="189"/>
    </row>
    <row r="4" spans="1:5" x14ac:dyDescent="0.3">
      <c r="A4" s="142" t="s">
        <v>287</v>
      </c>
      <c r="B4" s="144" t="s">
        <v>284</v>
      </c>
      <c r="D4" s="188" t="s">
        <v>462</v>
      </c>
      <c r="E4" s="189"/>
    </row>
    <row r="5" spans="1:5" x14ac:dyDescent="0.3">
      <c r="A5" s="143" t="s">
        <v>288</v>
      </c>
      <c r="B5" s="141" t="s">
        <v>286</v>
      </c>
      <c r="D5" s="190" t="s">
        <v>463</v>
      </c>
      <c r="E5" s="191"/>
    </row>
    <row r="6" spans="1:5" x14ac:dyDescent="0.3">
      <c r="D6" s="188" t="s">
        <v>464</v>
      </c>
      <c r="E6" s="189"/>
    </row>
    <row r="7" spans="1:5" x14ac:dyDescent="0.3">
      <c r="D7" s="190" t="s">
        <v>465</v>
      </c>
      <c r="E7" s="191"/>
    </row>
    <row r="8" spans="1:5" ht="15" thickBot="1" x14ac:dyDescent="0.35">
      <c r="D8" s="192" t="s">
        <v>466</v>
      </c>
      <c r="E8" s="193"/>
    </row>
    <row r="9" spans="1:5" ht="15" thickTop="1" x14ac:dyDescent="0.3"/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B749C-9CE8-4732-B93F-7CF8AE069791}">
  <sheetPr codeName="Sheet3">
    <pageSetUpPr fitToPage="1"/>
  </sheetPr>
  <dimension ref="B1:D22"/>
  <sheetViews>
    <sheetView showGridLines="0" showRowColHeaders="0" workbookViewId="0">
      <selection activeCell="B4" sqref="B4:D21"/>
    </sheetView>
  </sheetViews>
  <sheetFormatPr defaultRowHeight="14.4" x14ac:dyDescent="0.3"/>
  <cols>
    <col min="1" max="1" width="2" customWidth="1"/>
  </cols>
  <sheetData>
    <row r="1" spans="2:4" ht="5.25" customHeight="1" x14ac:dyDescent="0.3"/>
    <row r="3" spans="2:4" ht="15" thickBot="1" x14ac:dyDescent="0.35"/>
    <row r="4" spans="2:4" ht="15" thickTop="1" x14ac:dyDescent="0.3">
      <c r="B4" s="1"/>
      <c r="C4" s="2"/>
      <c r="D4" s="3"/>
    </row>
    <row r="5" spans="2:4" x14ac:dyDescent="0.3">
      <c r="B5" s="4"/>
      <c r="C5" s="5"/>
      <c r="D5" s="6"/>
    </row>
    <row r="6" spans="2:4" x14ac:dyDescent="0.3">
      <c r="B6" s="4"/>
      <c r="C6" s="5"/>
      <c r="D6" s="6"/>
    </row>
    <row r="7" spans="2:4" x14ac:dyDescent="0.3">
      <c r="B7" s="4"/>
      <c r="C7" s="5"/>
      <c r="D7" s="6"/>
    </row>
    <row r="8" spans="2:4" x14ac:dyDescent="0.3">
      <c r="B8" s="4"/>
      <c r="C8" s="5"/>
      <c r="D8" s="6"/>
    </row>
    <row r="9" spans="2:4" x14ac:dyDescent="0.3">
      <c r="B9" s="4"/>
      <c r="C9" s="5"/>
      <c r="D9" s="6"/>
    </row>
    <row r="10" spans="2:4" x14ac:dyDescent="0.3">
      <c r="B10" s="4"/>
      <c r="C10" s="5"/>
      <c r="D10" s="6"/>
    </row>
    <row r="11" spans="2:4" x14ac:dyDescent="0.3">
      <c r="B11" s="4"/>
      <c r="C11" s="5"/>
      <c r="D11" s="6"/>
    </row>
    <row r="12" spans="2:4" x14ac:dyDescent="0.3">
      <c r="B12" s="4"/>
      <c r="C12" s="5"/>
      <c r="D12" s="6"/>
    </row>
    <row r="13" spans="2:4" x14ac:dyDescent="0.3">
      <c r="B13" s="4"/>
      <c r="C13" s="5"/>
      <c r="D13" s="6"/>
    </row>
    <row r="14" spans="2:4" x14ac:dyDescent="0.3">
      <c r="B14" s="4"/>
      <c r="C14" s="5"/>
      <c r="D14" s="6"/>
    </row>
    <row r="15" spans="2:4" x14ac:dyDescent="0.3">
      <c r="B15" s="4"/>
      <c r="C15" s="5"/>
      <c r="D15" s="6"/>
    </row>
    <row r="16" spans="2:4" x14ac:dyDescent="0.3">
      <c r="B16" s="4"/>
      <c r="C16" s="5"/>
      <c r="D16" s="6"/>
    </row>
    <row r="17" spans="2:4" x14ac:dyDescent="0.3">
      <c r="B17" s="4"/>
      <c r="C17" s="5"/>
      <c r="D17" s="6"/>
    </row>
    <row r="18" spans="2:4" x14ac:dyDescent="0.3">
      <c r="B18" s="4"/>
      <c r="C18" s="5"/>
      <c r="D18" s="6"/>
    </row>
    <row r="19" spans="2:4" x14ac:dyDescent="0.3">
      <c r="B19" s="4"/>
      <c r="C19" s="5"/>
      <c r="D19" s="6"/>
    </row>
    <row r="20" spans="2:4" x14ac:dyDescent="0.3">
      <c r="B20" s="4"/>
      <c r="C20" s="5"/>
      <c r="D20" s="6"/>
    </row>
    <row r="21" spans="2:4" ht="15" thickBot="1" x14ac:dyDescent="0.35">
      <c r="B21" s="7"/>
      <c r="C21" s="8"/>
      <c r="D21" s="9"/>
    </row>
    <row r="22" spans="2:4" ht="15" thickTop="1" x14ac:dyDescent="0.3"/>
  </sheetData>
  <dataConsolidate link="1"/>
  <printOptions horizontalCentered="1"/>
  <pageMargins left="0.31496062992125984" right="0.31496062992125984" top="0.51181102362204722" bottom="0.39370078740157483" header="0.11811023622047245" footer="0.11811023622047245"/>
  <pageSetup paperSize="9" orientation="landscape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8EE8B-4890-492E-A5FA-B7AFF2097D40}">
  <sheetPr codeName="Sheet5">
    <pageSetUpPr fitToPage="1"/>
  </sheetPr>
  <dimension ref="B1:D22"/>
  <sheetViews>
    <sheetView showGridLines="0" showRowColHeaders="0" workbookViewId="0">
      <selection activeCell="B4" sqref="B4:D21"/>
    </sheetView>
  </sheetViews>
  <sheetFormatPr defaultRowHeight="14.4" x14ac:dyDescent="0.3"/>
  <cols>
    <col min="1" max="1" width="2" customWidth="1"/>
  </cols>
  <sheetData>
    <row r="1" spans="2:4" ht="5.25" customHeight="1" x14ac:dyDescent="0.3"/>
    <row r="3" spans="2:4" ht="15" thickBot="1" x14ac:dyDescent="0.35"/>
    <row r="4" spans="2:4" ht="15" thickTop="1" x14ac:dyDescent="0.3">
      <c r="B4" s="1"/>
      <c r="C4" s="2"/>
      <c r="D4" s="3"/>
    </row>
    <row r="5" spans="2:4" x14ac:dyDescent="0.3">
      <c r="B5" s="4"/>
      <c r="C5" s="5"/>
      <c r="D5" s="6"/>
    </row>
    <row r="6" spans="2:4" x14ac:dyDescent="0.3">
      <c r="B6" s="4"/>
      <c r="C6" s="5"/>
      <c r="D6" s="6"/>
    </row>
    <row r="7" spans="2:4" x14ac:dyDescent="0.3">
      <c r="B7" s="4"/>
      <c r="C7" s="5"/>
      <c r="D7" s="6"/>
    </row>
    <row r="8" spans="2:4" x14ac:dyDescent="0.3">
      <c r="B8" s="4"/>
      <c r="C8" s="5"/>
      <c r="D8" s="6"/>
    </row>
    <row r="9" spans="2:4" x14ac:dyDescent="0.3">
      <c r="B9" s="4"/>
      <c r="C9" s="5"/>
      <c r="D9" s="6"/>
    </row>
    <row r="10" spans="2:4" x14ac:dyDescent="0.3">
      <c r="B10" s="4"/>
      <c r="C10" s="5"/>
      <c r="D10" s="6"/>
    </row>
    <row r="11" spans="2:4" x14ac:dyDescent="0.3">
      <c r="B11" s="4"/>
      <c r="C11" s="5"/>
      <c r="D11" s="6"/>
    </row>
    <row r="12" spans="2:4" x14ac:dyDescent="0.3">
      <c r="B12" s="4"/>
      <c r="C12" s="5"/>
      <c r="D12" s="6"/>
    </row>
    <row r="13" spans="2:4" x14ac:dyDescent="0.3">
      <c r="B13" s="4"/>
      <c r="C13" s="5"/>
      <c r="D13" s="6"/>
    </row>
    <row r="14" spans="2:4" x14ac:dyDescent="0.3">
      <c r="B14" s="4"/>
      <c r="C14" s="5"/>
      <c r="D14" s="6"/>
    </row>
    <row r="15" spans="2:4" x14ac:dyDescent="0.3">
      <c r="B15" s="4"/>
      <c r="C15" s="5"/>
      <c r="D15" s="6"/>
    </row>
    <row r="16" spans="2:4" x14ac:dyDescent="0.3">
      <c r="B16" s="4"/>
      <c r="C16" s="5"/>
      <c r="D16" s="6"/>
    </row>
    <row r="17" spans="2:4" x14ac:dyDescent="0.3">
      <c r="B17" s="4"/>
      <c r="C17" s="5"/>
      <c r="D17" s="6"/>
    </row>
    <row r="18" spans="2:4" x14ac:dyDescent="0.3">
      <c r="B18" s="4"/>
      <c r="C18" s="5"/>
      <c r="D18" s="6"/>
    </row>
    <row r="19" spans="2:4" x14ac:dyDescent="0.3">
      <c r="B19" s="4"/>
      <c r="C19" s="5"/>
      <c r="D19" s="6"/>
    </row>
    <row r="20" spans="2:4" x14ac:dyDescent="0.3">
      <c r="B20" s="4"/>
      <c r="C20" s="5"/>
      <c r="D20" s="6"/>
    </row>
    <row r="21" spans="2:4" ht="15" thickBot="1" x14ac:dyDescent="0.35">
      <c r="B21" s="7"/>
      <c r="C21" s="8"/>
      <c r="D21" s="9"/>
    </row>
    <row r="22" spans="2:4" ht="15" thickTop="1" x14ac:dyDescent="0.3"/>
  </sheetData>
  <dataConsolidate link="1"/>
  <printOptions horizontalCentered="1"/>
  <pageMargins left="0.31496062992125984" right="0.31496062992125984" top="0.51181102362204722" bottom="0.39370078740157483" header="0.11811023622047245" footer="0.11811023622047245"/>
  <pageSetup paperSize="9" orientation="landscape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7E08A-45EE-4199-AD3E-EBA812E85781}">
  <sheetPr codeName="Sheet13">
    <tabColor rgb="FFF0AA82"/>
    <pageSetUpPr fitToPage="1"/>
  </sheetPr>
  <dimension ref="B1:D23"/>
  <sheetViews>
    <sheetView showGridLines="0" showRowColHeaders="0" workbookViewId="0">
      <selection activeCell="B5" sqref="B5"/>
    </sheetView>
  </sheetViews>
  <sheetFormatPr defaultRowHeight="14.4" x14ac:dyDescent="0.3"/>
  <cols>
    <col min="1" max="1" width="2" customWidth="1"/>
  </cols>
  <sheetData>
    <row r="1" spans="2:4" ht="15" customHeight="1" x14ac:dyDescent="0.3"/>
    <row r="4" spans="2:4" ht="15" thickBot="1" x14ac:dyDescent="0.35"/>
    <row r="5" spans="2:4" ht="15" thickTop="1" x14ac:dyDescent="0.3">
      <c r="B5" s="1"/>
      <c r="C5" s="2"/>
      <c r="D5" s="3"/>
    </row>
    <row r="6" spans="2:4" x14ac:dyDescent="0.3">
      <c r="B6" s="4"/>
      <c r="C6" s="5"/>
      <c r="D6" s="6"/>
    </row>
    <row r="7" spans="2:4" x14ac:dyDescent="0.3">
      <c r="B7" s="4"/>
      <c r="C7" s="5"/>
      <c r="D7" s="6"/>
    </row>
    <row r="8" spans="2:4" x14ac:dyDescent="0.3">
      <c r="B8" s="4"/>
      <c r="C8" s="5"/>
      <c r="D8" s="6"/>
    </row>
    <row r="9" spans="2:4" x14ac:dyDescent="0.3">
      <c r="B9" s="4"/>
      <c r="C9" s="5"/>
      <c r="D9" s="6"/>
    </row>
    <row r="10" spans="2:4" x14ac:dyDescent="0.3">
      <c r="B10" s="4"/>
      <c r="C10" s="5"/>
      <c r="D10" s="6"/>
    </row>
    <row r="11" spans="2:4" x14ac:dyDescent="0.3">
      <c r="B11" s="4"/>
      <c r="C11" s="5"/>
      <c r="D11" s="6"/>
    </row>
    <row r="12" spans="2:4" x14ac:dyDescent="0.3">
      <c r="B12" s="4"/>
      <c r="C12" s="5"/>
      <c r="D12" s="6"/>
    </row>
    <row r="13" spans="2:4" x14ac:dyDescent="0.3">
      <c r="B13" s="4"/>
      <c r="C13" s="5"/>
      <c r="D13" s="6"/>
    </row>
    <row r="14" spans="2:4" x14ac:dyDescent="0.3">
      <c r="B14" s="4"/>
      <c r="C14" s="5"/>
      <c r="D14" s="6"/>
    </row>
    <row r="15" spans="2:4" x14ac:dyDescent="0.3">
      <c r="B15" s="4"/>
      <c r="C15" s="5"/>
      <c r="D15" s="6"/>
    </row>
    <row r="16" spans="2:4" x14ac:dyDescent="0.3">
      <c r="B16" s="4"/>
      <c r="C16" s="5"/>
      <c r="D16" s="6"/>
    </row>
    <row r="17" spans="2:4" x14ac:dyDescent="0.3">
      <c r="B17" s="4"/>
      <c r="C17" s="5"/>
      <c r="D17" s="6"/>
    </row>
    <row r="18" spans="2:4" x14ac:dyDescent="0.3">
      <c r="B18" s="4"/>
      <c r="C18" s="5"/>
      <c r="D18" s="6"/>
    </row>
    <row r="19" spans="2:4" x14ac:dyDescent="0.3">
      <c r="B19" s="4"/>
      <c r="C19" s="5"/>
      <c r="D19" s="6"/>
    </row>
    <row r="20" spans="2:4" x14ac:dyDescent="0.3">
      <c r="B20" s="4"/>
      <c r="C20" s="5"/>
      <c r="D20" s="6"/>
    </row>
    <row r="21" spans="2:4" x14ac:dyDescent="0.3">
      <c r="B21" s="4"/>
      <c r="C21" s="5"/>
      <c r="D21" s="6"/>
    </row>
    <row r="22" spans="2:4" ht="15" thickBot="1" x14ac:dyDescent="0.35">
      <c r="B22" s="7"/>
      <c r="C22" s="8"/>
      <c r="D22" s="9"/>
    </row>
    <row r="23" spans="2:4" ht="15" thickTop="1" x14ac:dyDescent="0.3"/>
  </sheetData>
  <dataConsolidate link="1"/>
  <printOptions horizontalCentered="1"/>
  <pageMargins left="0.31496062992125984" right="0.31496062992125984" top="0.51181102362204722" bottom="0.39370078740157483" header="0.11811023622047245" footer="0.11811023622047245"/>
  <pageSetup paperSize="9" orientation="landscape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D26B8-CDB3-4730-A55C-B8EEA1499F77}">
  <sheetPr codeName="Sheet16">
    <tabColor rgb="FFF0AA82"/>
    <pageSetUpPr fitToPage="1"/>
  </sheetPr>
  <dimension ref="B1:D23"/>
  <sheetViews>
    <sheetView showGridLines="0" showRowColHeaders="0" workbookViewId="0">
      <selection activeCell="B5" sqref="B5"/>
    </sheetView>
  </sheetViews>
  <sheetFormatPr defaultRowHeight="14.4" x14ac:dyDescent="0.3"/>
  <cols>
    <col min="1" max="1" width="2" customWidth="1"/>
  </cols>
  <sheetData>
    <row r="1" spans="2:4" ht="15" customHeight="1" x14ac:dyDescent="0.3"/>
    <row r="4" spans="2:4" ht="15" thickBot="1" x14ac:dyDescent="0.35"/>
    <row r="5" spans="2:4" ht="15" thickTop="1" x14ac:dyDescent="0.3">
      <c r="B5" s="1"/>
      <c r="C5" s="2"/>
      <c r="D5" s="3"/>
    </row>
    <row r="6" spans="2:4" x14ac:dyDescent="0.3">
      <c r="B6" s="4"/>
      <c r="C6" s="5"/>
      <c r="D6" s="6"/>
    </row>
    <row r="7" spans="2:4" x14ac:dyDescent="0.3">
      <c r="B7" s="4"/>
      <c r="C7" s="5"/>
      <c r="D7" s="6"/>
    </row>
    <row r="8" spans="2:4" x14ac:dyDescent="0.3">
      <c r="B8" s="4"/>
      <c r="C8" s="5"/>
      <c r="D8" s="6"/>
    </row>
    <row r="9" spans="2:4" x14ac:dyDescent="0.3">
      <c r="B9" s="4"/>
      <c r="C9" s="5"/>
      <c r="D9" s="6"/>
    </row>
    <row r="10" spans="2:4" x14ac:dyDescent="0.3">
      <c r="B10" s="4"/>
      <c r="C10" s="5"/>
      <c r="D10" s="6"/>
    </row>
    <row r="11" spans="2:4" x14ac:dyDescent="0.3">
      <c r="B11" s="4"/>
      <c r="C11" s="5"/>
      <c r="D11" s="6"/>
    </row>
    <row r="12" spans="2:4" x14ac:dyDescent="0.3">
      <c r="B12" s="4"/>
      <c r="C12" s="5"/>
      <c r="D12" s="6"/>
    </row>
    <row r="13" spans="2:4" x14ac:dyDescent="0.3">
      <c r="B13" s="4"/>
      <c r="C13" s="5"/>
      <c r="D13" s="6"/>
    </row>
    <row r="14" spans="2:4" x14ac:dyDescent="0.3">
      <c r="B14" s="4"/>
      <c r="C14" s="5"/>
      <c r="D14" s="6"/>
    </row>
    <row r="15" spans="2:4" x14ac:dyDescent="0.3">
      <c r="B15" s="4"/>
      <c r="C15" s="5"/>
      <c r="D15" s="6"/>
    </row>
    <row r="16" spans="2:4" x14ac:dyDescent="0.3">
      <c r="B16" s="4"/>
      <c r="C16" s="5"/>
      <c r="D16" s="6"/>
    </row>
    <row r="17" spans="2:4" x14ac:dyDescent="0.3">
      <c r="B17" s="4"/>
      <c r="C17" s="5"/>
      <c r="D17" s="6"/>
    </row>
    <row r="18" spans="2:4" x14ac:dyDescent="0.3">
      <c r="B18" s="4"/>
      <c r="C18" s="5"/>
      <c r="D18" s="6"/>
    </row>
    <row r="19" spans="2:4" x14ac:dyDescent="0.3">
      <c r="B19" s="4"/>
      <c r="C19" s="5"/>
      <c r="D19" s="6"/>
    </row>
    <row r="20" spans="2:4" x14ac:dyDescent="0.3">
      <c r="B20" s="4"/>
      <c r="C20" s="5"/>
      <c r="D20" s="6"/>
    </row>
    <row r="21" spans="2:4" x14ac:dyDescent="0.3">
      <c r="B21" s="4"/>
      <c r="C21" s="5"/>
      <c r="D21" s="6"/>
    </row>
    <row r="22" spans="2:4" ht="15" thickBot="1" x14ac:dyDescent="0.35">
      <c r="B22" s="7"/>
      <c r="C22" s="8"/>
      <c r="D22" s="9"/>
    </row>
    <row r="23" spans="2:4" ht="15" thickTop="1" x14ac:dyDescent="0.3"/>
  </sheetData>
  <dataConsolidate link="1"/>
  <printOptions horizontalCentered="1"/>
  <pageMargins left="0.31496062992125984" right="0.31496062992125984" top="0.51181102362204722" bottom="0.39370078740157483" header="0.11811023622047245" footer="0.11811023622047245"/>
  <pageSetup paperSize="9" orientation="landscape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A51F3-7D02-42EC-B2AE-94A578FA866C}">
  <sheetPr codeName="Sheet4">
    <pageSetUpPr fitToPage="1"/>
  </sheetPr>
  <dimension ref="B1:D22"/>
  <sheetViews>
    <sheetView showGridLines="0" showRowColHeaders="0" workbookViewId="0">
      <selection activeCell="B4" sqref="B4"/>
    </sheetView>
  </sheetViews>
  <sheetFormatPr defaultRowHeight="14.4" x14ac:dyDescent="0.3"/>
  <cols>
    <col min="1" max="1" width="2" customWidth="1"/>
  </cols>
  <sheetData>
    <row r="1" spans="2:4" ht="5.25" customHeight="1" x14ac:dyDescent="0.3"/>
    <row r="3" spans="2:4" ht="15" thickBot="1" x14ac:dyDescent="0.35"/>
    <row r="4" spans="2:4" ht="15" thickTop="1" x14ac:dyDescent="0.3">
      <c r="B4" s="1"/>
      <c r="C4" s="2"/>
      <c r="D4" s="3"/>
    </row>
    <row r="5" spans="2:4" x14ac:dyDescent="0.3">
      <c r="B5" s="4"/>
      <c r="C5" s="5"/>
      <c r="D5" s="6"/>
    </row>
    <row r="6" spans="2:4" x14ac:dyDescent="0.3">
      <c r="B6" s="4"/>
      <c r="C6" s="5"/>
      <c r="D6" s="6"/>
    </row>
    <row r="7" spans="2:4" x14ac:dyDescent="0.3">
      <c r="B7" s="4"/>
      <c r="C7" s="5"/>
      <c r="D7" s="6"/>
    </row>
    <row r="8" spans="2:4" x14ac:dyDescent="0.3">
      <c r="B8" s="4"/>
      <c r="C8" s="5"/>
      <c r="D8" s="6"/>
    </row>
    <row r="9" spans="2:4" x14ac:dyDescent="0.3">
      <c r="B9" s="4"/>
      <c r="C9" s="5"/>
      <c r="D9" s="6"/>
    </row>
    <row r="10" spans="2:4" x14ac:dyDescent="0.3">
      <c r="B10" s="4"/>
      <c r="C10" s="5"/>
      <c r="D10" s="6"/>
    </row>
    <row r="11" spans="2:4" x14ac:dyDescent="0.3">
      <c r="B11" s="4"/>
      <c r="C11" s="5"/>
      <c r="D11" s="6"/>
    </row>
    <row r="12" spans="2:4" x14ac:dyDescent="0.3">
      <c r="B12" s="4"/>
      <c r="C12" s="5"/>
      <c r="D12" s="6"/>
    </row>
    <row r="13" spans="2:4" x14ac:dyDescent="0.3">
      <c r="B13" s="4"/>
      <c r="C13" s="5"/>
      <c r="D13" s="6"/>
    </row>
    <row r="14" spans="2:4" x14ac:dyDescent="0.3">
      <c r="B14" s="4"/>
      <c r="C14" s="5"/>
      <c r="D14" s="6"/>
    </row>
    <row r="15" spans="2:4" x14ac:dyDescent="0.3">
      <c r="B15" s="4"/>
      <c r="C15" s="5"/>
      <c r="D15" s="6"/>
    </row>
    <row r="16" spans="2:4" x14ac:dyDescent="0.3">
      <c r="B16" s="4"/>
      <c r="C16" s="5"/>
      <c r="D16" s="6"/>
    </row>
    <row r="17" spans="2:4" x14ac:dyDescent="0.3">
      <c r="B17" s="4"/>
      <c r="C17" s="5"/>
      <c r="D17" s="6"/>
    </row>
    <row r="18" spans="2:4" x14ac:dyDescent="0.3">
      <c r="B18" s="4"/>
      <c r="C18" s="5"/>
      <c r="D18" s="6"/>
    </row>
    <row r="19" spans="2:4" x14ac:dyDescent="0.3">
      <c r="B19" s="4"/>
      <c r="C19" s="5"/>
      <c r="D19" s="6"/>
    </row>
    <row r="20" spans="2:4" x14ac:dyDescent="0.3">
      <c r="B20" s="4"/>
      <c r="C20" s="5"/>
      <c r="D20" s="6"/>
    </row>
    <row r="21" spans="2:4" ht="15" thickBot="1" x14ac:dyDescent="0.35">
      <c r="B21" s="7"/>
      <c r="C21" s="8"/>
      <c r="D21" s="9"/>
    </row>
    <row r="22" spans="2:4" ht="15" thickTop="1" x14ac:dyDescent="0.3"/>
  </sheetData>
  <dataConsolidate link="1"/>
  <printOptions horizontalCentered="1"/>
  <pageMargins left="0.31496062992125984" right="0.31496062992125984" top="0.51181102362204722" bottom="0.39370078740157483" header="0.11811023622047245" footer="0.11811023622047245"/>
  <pageSetup paperSize="9" orientation="landscape"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3E392-EB2A-448B-84E2-463055C62868}">
  <sheetPr codeName="Sheet2">
    <pageSetUpPr fitToPage="1"/>
  </sheetPr>
  <dimension ref="B1:I22"/>
  <sheetViews>
    <sheetView showGridLines="0" showRowColHeaders="0" zoomScale="80" zoomScaleNormal="80" workbookViewId="0">
      <selection activeCell="B4" sqref="B4:D21"/>
    </sheetView>
  </sheetViews>
  <sheetFormatPr defaultRowHeight="14.4" x14ac:dyDescent="0.3"/>
  <cols>
    <col min="1" max="1" width="1.6640625" customWidth="1"/>
    <col min="2" max="3" width="15.6640625" customWidth="1"/>
    <col min="4" max="9" width="15.6640625" style="17" customWidth="1"/>
    <col min="10" max="15" width="20" customWidth="1"/>
  </cols>
  <sheetData>
    <row r="1" spans="2:4" ht="15" customHeight="1" x14ac:dyDescent="0.3"/>
    <row r="2" spans="2:4" ht="15" customHeight="1" x14ac:dyDescent="0.3"/>
    <row r="3" spans="2:4" ht="15" thickBot="1" x14ac:dyDescent="0.35"/>
    <row r="4" spans="2:4" ht="15" thickTop="1" x14ac:dyDescent="0.3">
      <c r="B4" s="1"/>
      <c r="C4" s="2"/>
      <c r="D4" s="3"/>
    </row>
    <row r="5" spans="2:4" x14ac:dyDescent="0.3">
      <c r="B5" s="4"/>
      <c r="C5" s="5"/>
      <c r="D5" s="6"/>
    </row>
    <row r="6" spans="2:4" x14ac:dyDescent="0.3">
      <c r="B6" s="4"/>
      <c r="C6" s="5"/>
      <c r="D6" s="6"/>
    </row>
    <row r="7" spans="2:4" x14ac:dyDescent="0.3">
      <c r="B7" s="4"/>
      <c r="C7" s="5"/>
      <c r="D7" s="6"/>
    </row>
    <row r="8" spans="2:4" x14ac:dyDescent="0.3">
      <c r="B8" s="4"/>
      <c r="C8" s="5"/>
      <c r="D8" s="6"/>
    </row>
    <row r="9" spans="2:4" x14ac:dyDescent="0.3">
      <c r="B9" s="4"/>
      <c r="C9" s="5"/>
      <c r="D9" s="6"/>
    </row>
    <row r="10" spans="2:4" x14ac:dyDescent="0.3">
      <c r="B10" s="4"/>
      <c r="C10" s="5"/>
      <c r="D10" s="6"/>
    </row>
    <row r="11" spans="2:4" x14ac:dyDescent="0.3">
      <c r="B11" s="4"/>
      <c r="C11" s="5"/>
      <c r="D11" s="6"/>
    </row>
    <row r="12" spans="2:4" x14ac:dyDescent="0.3">
      <c r="B12" s="4"/>
      <c r="C12" s="5"/>
      <c r="D12" s="6"/>
    </row>
    <row r="13" spans="2:4" x14ac:dyDescent="0.3">
      <c r="B13" s="4"/>
      <c r="C13" s="5"/>
      <c r="D13" s="6"/>
    </row>
    <row r="14" spans="2:4" x14ac:dyDescent="0.3">
      <c r="B14" s="4"/>
      <c r="C14" s="5"/>
      <c r="D14" s="6"/>
    </row>
    <row r="15" spans="2:4" x14ac:dyDescent="0.3">
      <c r="B15" s="4"/>
      <c r="C15" s="5"/>
      <c r="D15" s="6"/>
    </row>
    <row r="16" spans="2:4" x14ac:dyDescent="0.3">
      <c r="B16" s="4"/>
      <c r="C16" s="5"/>
      <c r="D16" s="6"/>
    </row>
    <row r="17" spans="2:4" x14ac:dyDescent="0.3">
      <c r="B17" s="4"/>
      <c r="C17" s="5"/>
      <c r="D17" s="6"/>
    </row>
    <row r="18" spans="2:4" x14ac:dyDescent="0.3">
      <c r="B18" s="4"/>
      <c r="C18" s="5"/>
      <c r="D18" s="6"/>
    </row>
    <row r="19" spans="2:4" x14ac:dyDescent="0.3">
      <c r="B19" s="4"/>
      <c r="C19" s="5"/>
      <c r="D19" s="6"/>
    </row>
    <row r="20" spans="2:4" x14ac:dyDescent="0.3">
      <c r="B20" s="4"/>
      <c r="C20" s="5"/>
      <c r="D20" s="6"/>
    </row>
    <row r="21" spans="2:4" ht="15" thickBot="1" x14ac:dyDescent="0.35">
      <c r="B21" s="7"/>
      <c r="C21" s="8"/>
      <c r="D21" s="9"/>
    </row>
    <row r="22" spans="2:4" ht="15" thickTop="1" x14ac:dyDescent="0.3"/>
  </sheetData>
  <dataConsolidate link="1"/>
  <printOptions horizontalCentered="1"/>
  <pageMargins left="0.31496062992125984" right="0.31496062992125984" top="0.51181102362204722" bottom="0.39370078740157483" header="0.11811023622047245" footer="0.11811023622047245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rint_PurchasesbySupplier_report_02">
                <anchor moveWithCells="1">
                  <from>
                    <xdr:col>9</xdr:col>
                    <xdr:colOff>1988820</xdr:colOff>
                    <xdr:row>4</xdr:row>
                    <xdr:rowOff>76200</xdr:rowOff>
                  </from>
                  <to>
                    <xdr:col>11</xdr:col>
                    <xdr:colOff>670560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defaultSize="0" print="0" autoFill="0" autoLine="0" autoPict="0" macro="[0]!OptionButton4_Click">
                <anchor moveWithCells="1">
                  <from>
                    <xdr:col>10</xdr:col>
                    <xdr:colOff>76200</xdr:colOff>
                    <xdr:row>0</xdr:row>
                    <xdr:rowOff>7620</xdr:rowOff>
                  </from>
                  <to>
                    <xdr:col>11</xdr:col>
                    <xdr:colOff>556260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Option Button 5">
              <controlPr defaultSize="0" print="0" autoFill="0" autoLine="0" autoPict="0" macro="[0]!PURCHASESBYSUPPLIER_OptionButton5_Click">
                <anchor moveWithCells="1">
                  <from>
                    <xdr:col>10</xdr:col>
                    <xdr:colOff>76200</xdr:colOff>
                    <xdr:row>2</xdr:row>
                    <xdr:rowOff>60960</xdr:rowOff>
                  </from>
                  <to>
                    <xdr:col>11</xdr:col>
                    <xdr:colOff>556260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B6B75-4DDE-460E-9951-E60FFFD557EF}">
  <sheetPr codeName="Sheet10">
    <pageSetUpPr fitToPage="1"/>
  </sheetPr>
  <dimension ref="B1:D22"/>
  <sheetViews>
    <sheetView showGridLines="0" showRowColHeaders="0" workbookViewId="0">
      <selection activeCell="C14" sqref="C14"/>
    </sheetView>
  </sheetViews>
  <sheetFormatPr defaultRowHeight="14.4" x14ac:dyDescent="0.3"/>
  <cols>
    <col min="1" max="1" width="2" customWidth="1"/>
  </cols>
  <sheetData>
    <row r="1" spans="2:4" ht="5.25" customHeight="1" x14ac:dyDescent="0.3"/>
    <row r="3" spans="2:4" ht="15" thickBot="1" x14ac:dyDescent="0.35"/>
    <row r="4" spans="2:4" ht="15" thickTop="1" x14ac:dyDescent="0.3">
      <c r="B4" s="1"/>
      <c r="C4" s="2"/>
      <c r="D4" s="3"/>
    </row>
    <row r="5" spans="2:4" x14ac:dyDescent="0.3">
      <c r="B5" s="4"/>
      <c r="C5" s="5"/>
      <c r="D5" s="6"/>
    </row>
    <row r="6" spans="2:4" x14ac:dyDescent="0.3">
      <c r="B6" s="4"/>
      <c r="C6" s="5"/>
      <c r="D6" s="6"/>
    </row>
    <row r="7" spans="2:4" x14ac:dyDescent="0.3">
      <c r="B7" s="4"/>
      <c r="C7" s="5"/>
      <c r="D7" s="6"/>
    </row>
    <row r="8" spans="2:4" x14ac:dyDescent="0.3">
      <c r="B8" s="4"/>
      <c r="C8" s="5"/>
      <c r="D8" s="6"/>
    </row>
    <row r="9" spans="2:4" x14ac:dyDescent="0.3">
      <c r="B9" s="4"/>
      <c r="C9" s="5"/>
      <c r="D9" s="6"/>
    </row>
    <row r="10" spans="2:4" x14ac:dyDescent="0.3">
      <c r="B10" s="4"/>
      <c r="C10" s="5"/>
      <c r="D10" s="6"/>
    </row>
    <row r="11" spans="2:4" x14ac:dyDescent="0.3">
      <c r="B11" s="4"/>
      <c r="C11" s="5"/>
      <c r="D11" s="6"/>
    </row>
    <row r="12" spans="2:4" x14ac:dyDescent="0.3">
      <c r="B12" s="4"/>
      <c r="C12" s="5"/>
      <c r="D12" s="6"/>
    </row>
    <row r="13" spans="2:4" x14ac:dyDescent="0.3">
      <c r="B13" s="4"/>
      <c r="C13" s="5"/>
      <c r="D13" s="6"/>
    </row>
    <row r="14" spans="2:4" x14ac:dyDescent="0.3">
      <c r="B14" s="4"/>
      <c r="C14" s="5"/>
      <c r="D14" s="6"/>
    </row>
    <row r="15" spans="2:4" x14ac:dyDescent="0.3">
      <c r="B15" s="4"/>
      <c r="C15" s="5"/>
      <c r="D15" s="6"/>
    </row>
    <row r="16" spans="2:4" x14ac:dyDescent="0.3">
      <c r="B16" s="4"/>
      <c r="C16" s="5"/>
      <c r="D16" s="6"/>
    </row>
    <row r="17" spans="2:4" x14ac:dyDescent="0.3">
      <c r="B17" s="4"/>
      <c r="C17" s="5"/>
      <c r="D17" s="6"/>
    </row>
    <row r="18" spans="2:4" x14ac:dyDescent="0.3">
      <c r="B18" s="4"/>
      <c r="C18" s="5"/>
      <c r="D18" s="6"/>
    </row>
    <row r="19" spans="2:4" x14ac:dyDescent="0.3">
      <c r="B19" s="4"/>
      <c r="C19" s="5"/>
      <c r="D19" s="6"/>
    </row>
    <row r="20" spans="2:4" x14ac:dyDescent="0.3">
      <c r="B20" s="4"/>
      <c r="C20" s="5"/>
      <c r="D20" s="6"/>
    </row>
    <row r="21" spans="2:4" ht="15" thickBot="1" x14ac:dyDescent="0.35">
      <c r="B21" s="7"/>
      <c r="C21" s="8"/>
      <c r="D21" s="9"/>
    </row>
    <row r="22" spans="2:4" ht="15" thickTop="1" x14ac:dyDescent="0.3"/>
  </sheetData>
  <dataConsolidate link="1"/>
  <printOptions horizontalCentered="1"/>
  <pageMargins left="0.31496062992125984" right="0.31496062992125984" top="0.51181102362204722" bottom="0.39370078740157483" header="0.11811023622047245" footer="0.11811023622047245"/>
  <pageSetup paperSize="9" orientation="landscape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299D1-269A-4B91-AA40-44671BE3F09B}">
  <sheetPr codeName="Sheet11">
    <pageSetUpPr fitToPage="1"/>
  </sheetPr>
  <dimension ref="B1:D22"/>
  <sheetViews>
    <sheetView showGridLines="0" showRowColHeaders="0" workbookViewId="0">
      <selection activeCell="C14" sqref="C14"/>
    </sheetView>
  </sheetViews>
  <sheetFormatPr defaultRowHeight="14.4" x14ac:dyDescent="0.3"/>
  <cols>
    <col min="1" max="1" width="2" customWidth="1"/>
  </cols>
  <sheetData>
    <row r="1" spans="2:4" ht="5.25" customHeight="1" x14ac:dyDescent="0.3"/>
    <row r="3" spans="2:4" ht="15" thickBot="1" x14ac:dyDescent="0.35"/>
    <row r="4" spans="2:4" ht="15" thickTop="1" x14ac:dyDescent="0.3">
      <c r="B4" s="1"/>
      <c r="C4" s="2"/>
      <c r="D4" s="3"/>
    </row>
    <row r="5" spans="2:4" x14ac:dyDescent="0.3">
      <c r="B5" s="4"/>
      <c r="C5" s="5"/>
      <c r="D5" s="6"/>
    </row>
    <row r="6" spans="2:4" x14ac:dyDescent="0.3">
      <c r="B6" s="4"/>
      <c r="C6" s="5"/>
      <c r="D6" s="6"/>
    </row>
    <row r="7" spans="2:4" x14ac:dyDescent="0.3">
      <c r="B7" s="4"/>
      <c r="C7" s="5"/>
      <c r="D7" s="6"/>
    </row>
    <row r="8" spans="2:4" x14ac:dyDescent="0.3">
      <c r="B8" s="4"/>
      <c r="C8" s="5"/>
      <c r="D8" s="6"/>
    </row>
    <row r="9" spans="2:4" x14ac:dyDescent="0.3">
      <c r="B9" s="4"/>
      <c r="C9" s="5"/>
      <c r="D9" s="6"/>
    </row>
    <row r="10" spans="2:4" x14ac:dyDescent="0.3">
      <c r="B10" s="4"/>
      <c r="C10" s="5"/>
      <c r="D10" s="6"/>
    </row>
    <row r="11" spans="2:4" x14ac:dyDescent="0.3">
      <c r="B11" s="4"/>
      <c r="C11" s="5"/>
      <c r="D11" s="6"/>
    </row>
    <row r="12" spans="2:4" x14ac:dyDescent="0.3">
      <c r="B12" s="4"/>
      <c r="C12" s="5"/>
      <c r="D12" s="6"/>
    </row>
    <row r="13" spans="2:4" x14ac:dyDescent="0.3">
      <c r="B13" s="4"/>
      <c r="C13" s="5"/>
      <c r="D13" s="6"/>
    </row>
    <row r="14" spans="2:4" x14ac:dyDescent="0.3">
      <c r="B14" s="4"/>
      <c r="C14" s="5"/>
      <c r="D14" s="6"/>
    </row>
    <row r="15" spans="2:4" x14ac:dyDescent="0.3">
      <c r="B15" s="4"/>
      <c r="C15" s="5"/>
      <c r="D15" s="6"/>
    </row>
    <row r="16" spans="2:4" x14ac:dyDescent="0.3">
      <c r="B16" s="4"/>
      <c r="C16" s="5"/>
      <c r="D16" s="6"/>
    </row>
    <row r="17" spans="2:4" x14ac:dyDescent="0.3">
      <c r="B17" s="4"/>
      <c r="C17" s="5"/>
      <c r="D17" s="6"/>
    </row>
    <row r="18" spans="2:4" x14ac:dyDescent="0.3">
      <c r="B18" s="4"/>
      <c r="C18" s="5"/>
      <c r="D18" s="6"/>
    </row>
    <row r="19" spans="2:4" x14ac:dyDescent="0.3">
      <c r="B19" s="4"/>
      <c r="C19" s="5"/>
      <c r="D19" s="6"/>
    </row>
    <row r="20" spans="2:4" x14ac:dyDescent="0.3">
      <c r="B20" s="4"/>
      <c r="C20" s="5"/>
      <c r="D20" s="6"/>
    </row>
    <row r="21" spans="2:4" ht="15" thickBot="1" x14ac:dyDescent="0.35">
      <c r="B21" s="7"/>
      <c r="C21" s="8"/>
      <c r="D21" s="9"/>
    </row>
    <row r="22" spans="2:4" ht="15" thickTop="1" x14ac:dyDescent="0.3"/>
  </sheetData>
  <dataConsolidate link="1"/>
  <printOptions horizontalCentered="1"/>
  <pageMargins left="0.31496062992125984" right="0.31496062992125984" top="0.51181102362204722" bottom="0.39370078740157483" header="0.11811023622047245" footer="0.11811023622047245"/>
  <pageSetup paperSize="9" orientation="landscape"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69849-AEBF-4A3E-8186-5B9DD2814BF6}">
  <sheetPr codeName="Sheet12">
    <tabColor rgb="FF00B450"/>
    <pageSetUpPr fitToPage="1"/>
  </sheetPr>
  <dimension ref="B1:I22"/>
  <sheetViews>
    <sheetView showGridLines="0" showRowColHeaders="0" zoomScale="80" zoomScaleNormal="80" workbookViewId="0">
      <selection activeCell="B4" sqref="B4"/>
    </sheetView>
  </sheetViews>
  <sheetFormatPr defaultRowHeight="14.4" x14ac:dyDescent="0.3"/>
  <cols>
    <col min="1" max="1" width="1.6640625" customWidth="1"/>
    <col min="2" max="3" width="15.6640625" customWidth="1"/>
    <col min="4" max="9" width="15.6640625" style="17" customWidth="1"/>
    <col min="10" max="15" width="20" customWidth="1"/>
  </cols>
  <sheetData>
    <row r="1" spans="2:4" ht="15" customHeight="1" x14ac:dyDescent="0.3"/>
    <row r="2" spans="2:4" ht="15" customHeight="1" x14ac:dyDescent="0.3"/>
    <row r="3" spans="2:4" ht="15" thickBot="1" x14ac:dyDescent="0.35"/>
    <row r="4" spans="2:4" ht="15" thickTop="1" x14ac:dyDescent="0.3">
      <c r="B4" s="1"/>
      <c r="C4" s="2"/>
      <c r="D4" s="3"/>
    </row>
    <row r="5" spans="2:4" x14ac:dyDescent="0.3">
      <c r="B5" s="4"/>
      <c r="C5" s="5"/>
      <c r="D5" s="6"/>
    </row>
    <row r="6" spans="2:4" x14ac:dyDescent="0.3">
      <c r="B6" s="4"/>
      <c r="C6" s="5"/>
      <c r="D6" s="6"/>
    </row>
    <row r="7" spans="2:4" x14ac:dyDescent="0.3">
      <c r="B7" s="4"/>
      <c r="C7" s="5"/>
      <c r="D7" s="6"/>
    </row>
    <row r="8" spans="2:4" x14ac:dyDescent="0.3">
      <c r="B8" s="4"/>
      <c r="C8" s="5"/>
      <c r="D8" s="6"/>
    </row>
    <row r="9" spans="2:4" x14ac:dyDescent="0.3">
      <c r="B9" s="4"/>
      <c r="C9" s="5"/>
      <c r="D9" s="6"/>
    </row>
    <row r="10" spans="2:4" x14ac:dyDescent="0.3">
      <c r="B10" s="4"/>
      <c r="C10" s="5"/>
      <c r="D10" s="6"/>
    </row>
    <row r="11" spans="2:4" x14ac:dyDescent="0.3">
      <c r="B11" s="4"/>
      <c r="C11" s="5"/>
      <c r="D11" s="6"/>
    </row>
    <row r="12" spans="2:4" x14ac:dyDescent="0.3">
      <c r="B12" s="4"/>
      <c r="C12" s="5"/>
      <c r="D12" s="6"/>
    </row>
    <row r="13" spans="2:4" x14ac:dyDescent="0.3">
      <c r="B13" s="4"/>
      <c r="C13" s="5"/>
      <c r="D13" s="6"/>
    </row>
    <row r="14" spans="2:4" x14ac:dyDescent="0.3">
      <c r="B14" s="4"/>
      <c r="C14" s="5"/>
      <c r="D14" s="6"/>
    </row>
    <row r="15" spans="2:4" x14ac:dyDescent="0.3">
      <c r="B15" s="4"/>
      <c r="C15" s="5"/>
      <c r="D15" s="6"/>
    </row>
    <row r="16" spans="2:4" x14ac:dyDescent="0.3">
      <c r="B16" s="4"/>
      <c r="C16" s="5"/>
      <c r="D16" s="6"/>
    </row>
    <row r="17" spans="2:4" x14ac:dyDescent="0.3">
      <c r="B17" s="4"/>
      <c r="C17" s="5"/>
      <c r="D17" s="6"/>
    </row>
    <row r="18" spans="2:4" x14ac:dyDescent="0.3">
      <c r="B18" s="4"/>
      <c r="C18" s="5"/>
      <c r="D18" s="6"/>
    </row>
    <row r="19" spans="2:4" x14ac:dyDescent="0.3">
      <c r="B19" s="4"/>
      <c r="C19" s="5"/>
      <c r="D19" s="6"/>
    </row>
    <row r="20" spans="2:4" x14ac:dyDescent="0.3">
      <c r="B20" s="4"/>
      <c r="C20" s="5"/>
      <c r="D20" s="6"/>
    </row>
    <row r="21" spans="2:4" ht="15" thickBot="1" x14ac:dyDescent="0.35">
      <c r="B21" s="7"/>
      <c r="C21" s="8"/>
      <c r="D21" s="9"/>
    </row>
    <row r="22" spans="2:4" ht="15" thickTop="1" x14ac:dyDescent="0.3"/>
  </sheetData>
  <dataConsolidate link="1"/>
  <printOptions horizontalCentered="1"/>
  <pageMargins left="0.31496062992125984" right="0.31496062992125984" top="0.51181102362204722" bottom="0.39370078740157483" header="0.11811023622047245" footer="0.11811023622047245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print_PurchasesbySupplier_report_02">
                <anchor moveWithCells="1">
                  <from>
                    <xdr:col>9</xdr:col>
                    <xdr:colOff>1988820</xdr:colOff>
                    <xdr:row>4</xdr:row>
                    <xdr:rowOff>76200</xdr:rowOff>
                  </from>
                  <to>
                    <xdr:col>11</xdr:col>
                    <xdr:colOff>670560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Option Button 2">
              <controlPr defaultSize="0" print="0" autoFill="0" autoLine="0" autoPict="0" macro="[0]!OptionButton4_Click">
                <anchor moveWithCells="1">
                  <from>
                    <xdr:col>10</xdr:col>
                    <xdr:colOff>76200</xdr:colOff>
                    <xdr:row>0</xdr:row>
                    <xdr:rowOff>7620</xdr:rowOff>
                  </from>
                  <to>
                    <xdr:col>11</xdr:col>
                    <xdr:colOff>556260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Option Button 3">
              <controlPr defaultSize="0" print="0" autoFill="0" autoLine="0" autoPict="0" macro="[0]!PURCHASESBYSUPPLIER_OptionButton5_Click">
                <anchor moveWithCells="1">
                  <from>
                    <xdr:col>10</xdr:col>
                    <xdr:colOff>76200</xdr:colOff>
                    <xdr:row>2</xdr:row>
                    <xdr:rowOff>60960</xdr:rowOff>
                  </from>
                  <to>
                    <xdr:col>11</xdr:col>
                    <xdr:colOff>556260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213FC-A6D9-4221-9460-A8D932F8552D}">
  <sheetPr codeName="Sheet15">
    <tabColor rgb="FF00B450"/>
    <pageSetUpPr fitToPage="1"/>
  </sheetPr>
  <dimension ref="B1:I22"/>
  <sheetViews>
    <sheetView showGridLines="0" showRowColHeaders="0" zoomScale="80" zoomScaleNormal="80" workbookViewId="0">
      <selection activeCell="B4" sqref="B4"/>
    </sheetView>
  </sheetViews>
  <sheetFormatPr defaultRowHeight="14.4" x14ac:dyDescent="0.3"/>
  <cols>
    <col min="1" max="1" width="1.6640625" customWidth="1"/>
    <col min="2" max="3" width="15.6640625" customWidth="1"/>
    <col min="4" max="9" width="15.6640625" style="17" customWidth="1"/>
    <col min="10" max="15" width="20" customWidth="1"/>
  </cols>
  <sheetData>
    <row r="1" spans="2:4" ht="15" customHeight="1" x14ac:dyDescent="0.3"/>
    <row r="2" spans="2:4" ht="15" customHeight="1" x14ac:dyDescent="0.3"/>
    <row r="3" spans="2:4" ht="15" thickBot="1" x14ac:dyDescent="0.35"/>
    <row r="4" spans="2:4" ht="15" thickTop="1" x14ac:dyDescent="0.3">
      <c r="B4" s="1"/>
      <c r="C4" s="2"/>
      <c r="D4" s="3"/>
    </row>
    <row r="5" spans="2:4" x14ac:dyDescent="0.3">
      <c r="B5" s="4"/>
      <c r="C5" s="5"/>
      <c r="D5" s="6"/>
    </row>
    <row r="6" spans="2:4" x14ac:dyDescent="0.3">
      <c r="B6" s="4"/>
      <c r="C6" s="5"/>
      <c r="D6" s="6"/>
    </row>
    <row r="7" spans="2:4" x14ac:dyDescent="0.3">
      <c r="B7" s="4"/>
      <c r="C7" s="5"/>
      <c r="D7" s="6"/>
    </row>
    <row r="8" spans="2:4" x14ac:dyDescent="0.3">
      <c r="B8" s="4"/>
      <c r="C8" s="5"/>
      <c r="D8" s="6"/>
    </row>
    <row r="9" spans="2:4" x14ac:dyDescent="0.3">
      <c r="B9" s="4"/>
      <c r="C9" s="5"/>
      <c r="D9" s="6"/>
    </row>
    <row r="10" spans="2:4" x14ac:dyDescent="0.3">
      <c r="B10" s="4"/>
      <c r="C10" s="5"/>
      <c r="D10" s="6"/>
    </row>
    <row r="11" spans="2:4" x14ac:dyDescent="0.3">
      <c r="B11" s="4"/>
      <c r="C11" s="5"/>
      <c r="D11" s="6"/>
    </row>
    <row r="12" spans="2:4" x14ac:dyDescent="0.3">
      <c r="B12" s="4"/>
      <c r="C12" s="5"/>
      <c r="D12" s="6"/>
    </row>
    <row r="13" spans="2:4" x14ac:dyDescent="0.3">
      <c r="B13" s="4"/>
      <c r="C13" s="5"/>
      <c r="D13" s="6"/>
    </row>
    <row r="14" spans="2:4" x14ac:dyDescent="0.3">
      <c r="B14" s="4"/>
      <c r="C14" s="5"/>
      <c r="D14" s="6"/>
    </row>
    <row r="15" spans="2:4" x14ac:dyDescent="0.3">
      <c r="B15" s="4"/>
      <c r="C15" s="5"/>
      <c r="D15" s="6"/>
    </row>
    <row r="16" spans="2:4" x14ac:dyDescent="0.3">
      <c r="B16" s="4"/>
      <c r="C16" s="5"/>
      <c r="D16" s="6"/>
    </row>
    <row r="17" spans="2:4" x14ac:dyDescent="0.3">
      <c r="B17" s="4"/>
      <c r="C17" s="5"/>
      <c r="D17" s="6"/>
    </row>
    <row r="18" spans="2:4" x14ac:dyDescent="0.3">
      <c r="B18" s="4"/>
      <c r="C18" s="5"/>
      <c r="D18" s="6"/>
    </row>
    <row r="19" spans="2:4" x14ac:dyDescent="0.3">
      <c r="B19" s="4"/>
      <c r="C19" s="5"/>
      <c r="D19" s="6"/>
    </row>
    <row r="20" spans="2:4" x14ac:dyDescent="0.3">
      <c r="B20" s="4"/>
      <c r="C20" s="5"/>
      <c r="D20" s="6"/>
    </row>
    <row r="21" spans="2:4" ht="15" thickBot="1" x14ac:dyDescent="0.35">
      <c r="B21" s="7"/>
      <c r="C21" s="8"/>
      <c r="D21" s="9"/>
    </row>
    <row r="22" spans="2:4" ht="15" thickTop="1" x14ac:dyDescent="0.3"/>
  </sheetData>
  <dataConsolidate link="1"/>
  <printOptions horizontalCentered="1"/>
  <pageMargins left="0.31496062992125984" right="0.31496062992125984" top="0.51181102362204722" bottom="0.39370078740157483" header="0.11811023622047245" footer="0.11811023622047245"/>
  <pageSetup paperSize="9" orientation="landscape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E59A2-34B6-47CA-BD64-B15112600119}">
  <sheetPr codeName="Sheet7">
    <pageSetUpPr fitToPage="1"/>
  </sheetPr>
  <dimension ref="B1:I27"/>
  <sheetViews>
    <sheetView showGridLines="0" showRowColHeaders="0" zoomScale="80" zoomScaleNormal="80" workbookViewId="0">
      <selection activeCell="C14" sqref="C14"/>
    </sheetView>
  </sheetViews>
  <sheetFormatPr defaultRowHeight="14.4" x14ac:dyDescent="0.3"/>
  <cols>
    <col min="1" max="1" width="1.6640625" customWidth="1"/>
    <col min="2" max="3" width="15.6640625" customWidth="1"/>
    <col min="4" max="9" width="15.6640625" style="17" customWidth="1"/>
    <col min="10" max="15" width="20" customWidth="1"/>
  </cols>
  <sheetData>
    <row r="1" spans="2:4" ht="15" customHeight="1" x14ac:dyDescent="0.3"/>
    <row r="2" spans="2:4" s="17" customFormat="1" ht="15" customHeight="1" x14ac:dyDescent="0.3">
      <c r="B2"/>
      <c r="C2"/>
    </row>
    <row r="3" spans="2:4" s="17" customFormat="1" ht="15" customHeight="1" x14ac:dyDescent="0.3">
      <c r="B3"/>
      <c r="C3"/>
    </row>
    <row r="4" spans="2:4" s="17" customFormat="1" ht="15" customHeight="1" x14ac:dyDescent="0.3">
      <c r="B4"/>
      <c r="C4"/>
    </row>
    <row r="5" spans="2:4" s="17" customFormat="1" ht="15" customHeight="1" x14ac:dyDescent="0.3">
      <c r="B5"/>
      <c r="C5"/>
    </row>
    <row r="6" spans="2:4" s="17" customFormat="1" ht="15" customHeight="1" x14ac:dyDescent="0.3">
      <c r="B6"/>
      <c r="C6"/>
    </row>
    <row r="7" spans="2:4" s="17" customFormat="1" ht="15" customHeight="1" x14ac:dyDescent="0.3">
      <c r="B7"/>
      <c r="C7"/>
    </row>
    <row r="8" spans="2:4" s="17" customFormat="1" ht="15" thickBot="1" x14ac:dyDescent="0.35">
      <c r="B8"/>
      <c r="C8"/>
    </row>
    <row r="9" spans="2:4" s="17" customFormat="1" ht="15" thickTop="1" x14ac:dyDescent="0.3">
      <c r="B9" s="1"/>
      <c r="C9" s="2"/>
      <c r="D9" s="3"/>
    </row>
    <row r="10" spans="2:4" s="17" customFormat="1" x14ac:dyDescent="0.3">
      <c r="B10" s="4"/>
      <c r="C10" s="5"/>
      <c r="D10" s="6"/>
    </row>
    <row r="11" spans="2:4" s="17" customFormat="1" x14ac:dyDescent="0.3">
      <c r="B11" s="4"/>
      <c r="C11" s="5"/>
      <c r="D11" s="6"/>
    </row>
    <row r="12" spans="2:4" s="17" customFormat="1" x14ac:dyDescent="0.3">
      <c r="B12" s="4"/>
      <c r="C12" s="5"/>
      <c r="D12" s="6"/>
    </row>
    <row r="13" spans="2:4" s="17" customFormat="1" x14ac:dyDescent="0.3">
      <c r="B13" s="4"/>
      <c r="C13" s="5"/>
      <c r="D13" s="6"/>
    </row>
    <row r="14" spans="2:4" s="17" customFormat="1" x14ac:dyDescent="0.3">
      <c r="B14" s="4"/>
      <c r="C14" s="5"/>
      <c r="D14" s="6"/>
    </row>
    <row r="15" spans="2:4" s="17" customFormat="1" x14ac:dyDescent="0.3">
      <c r="B15" s="4"/>
      <c r="C15" s="5"/>
      <c r="D15" s="6"/>
    </row>
    <row r="16" spans="2:4" s="17" customFormat="1" x14ac:dyDescent="0.3">
      <c r="B16" s="4"/>
      <c r="C16" s="5"/>
      <c r="D16" s="6"/>
    </row>
    <row r="17" spans="2:4" s="17" customFormat="1" x14ac:dyDescent="0.3">
      <c r="B17" s="4"/>
      <c r="C17" s="5"/>
      <c r="D17" s="6"/>
    </row>
    <row r="18" spans="2:4" s="17" customFormat="1" x14ac:dyDescent="0.3">
      <c r="B18" s="4"/>
      <c r="C18" s="5"/>
      <c r="D18" s="6"/>
    </row>
    <row r="19" spans="2:4" s="17" customFormat="1" x14ac:dyDescent="0.3">
      <c r="B19" s="4"/>
      <c r="C19" s="5"/>
      <c r="D19" s="6"/>
    </row>
    <row r="20" spans="2:4" s="17" customFormat="1" x14ac:dyDescent="0.3">
      <c r="B20" s="4"/>
      <c r="C20" s="5"/>
      <c r="D20" s="6"/>
    </row>
    <row r="21" spans="2:4" s="17" customFormat="1" x14ac:dyDescent="0.3">
      <c r="B21" s="4"/>
      <c r="C21" s="5"/>
      <c r="D21" s="6"/>
    </row>
    <row r="22" spans="2:4" s="17" customFormat="1" x14ac:dyDescent="0.3">
      <c r="B22" s="4"/>
      <c r="C22" s="5"/>
      <c r="D22" s="6"/>
    </row>
    <row r="23" spans="2:4" s="17" customFormat="1" x14ac:dyDescent="0.3">
      <c r="B23" s="4"/>
      <c r="C23" s="5"/>
      <c r="D23" s="6"/>
    </row>
    <row r="24" spans="2:4" s="17" customFormat="1" x14ac:dyDescent="0.3">
      <c r="B24" s="4"/>
      <c r="C24" s="5"/>
      <c r="D24" s="6"/>
    </row>
    <row r="25" spans="2:4" s="17" customFormat="1" x14ac:dyDescent="0.3">
      <c r="B25" s="4"/>
      <c r="C25" s="5"/>
      <c r="D25" s="6"/>
    </row>
    <row r="26" spans="2:4" s="17" customFormat="1" ht="15" thickBot="1" x14ac:dyDescent="0.35">
      <c r="B26" s="7"/>
      <c r="C26" s="8"/>
      <c r="D26" s="9"/>
    </row>
    <row r="27" spans="2:4" s="17" customFormat="1" ht="15" thickTop="1" x14ac:dyDescent="0.3">
      <c r="B27"/>
      <c r="C27"/>
    </row>
  </sheetData>
  <dataConsolidate link="1"/>
  <printOptions horizontalCentered="1"/>
  <pageMargins left="0.31496062992125984" right="0.31496062992125984" top="0.51181102362204722" bottom="0.39370078740157483" header="0.11811023622047245" footer="0.11811023622047245"/>
  <pageSetup paperSize="9" orientation="landscape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B6556-2974-48EF-82A4-8031FAEAAF7D}">
  <sheetPr codeName="Sheet6">
    <pageSetUpPr fitToPage="1"/>
  </sheetPr>
  <dimension ref="G1:I2"/>
  <sheetViews>
    <sheetView showGridLines="0" showRowColHeaders="0" zoomScale="80" zoomScaleNormal="80" workbookViewId="0">
      <pane xSplit="1" ySplit="8" topLeftCell="B9" activePane="bottomRight" state="frozen"/>
      <selection activeCell="B4" sqref="B4:D21"/>
      <selection pane="topRight" activeCell="B4" sqref="B4:D21"/>
      <selection pane="bottomLeft" activeCell="B4" sqref="B4:D21"/>
      <selection pane="bottomRight" activeCell="B4" sqref="B4:D21"/>
    </sheetView>
  </sheetViews>
  <sheetFormatPr defaultRowHeight="14.4" x14ac:dyDescent="0.3"/>
  <cols>
    <col min="7" max="9" width="15.6640625" style="17" customWidth="1"/>
    <col min="10" max="15" width="20" customWidth="1"/>
  </cols>
  <sheetData>
    <row r="1" ht="15" customHeight="1" x14ac:dyDescent="0.3"/>
    <row r="2" ht="15" customHeight="1" x14ac:dyDescent="0.3"/>
  </sheetData>
  <dataConsolidate link="1"/>
  <printOptions horizontalCentered="1"/>
  <pageMargins left="0.31496062992125984" right="0.31496062992125984" top="0.51181102362204722" bottom="0.39370078740157483" header="0.11811023622047245" footer="0.11811023622047245"/>
  <pageSetup paperSize="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70DAD-0A49-4A07-BDAE-8255971D0670}">
  <sheetPr codeName="Sheet14">
    <pageSetUpPr fitToPage="1"/>
  </sheetPr>
  <dimension ref="G1:I2"/>
  <sheetViews>
    <sheetView showGridLines="0" showRowColHeaders="0" zoomScale="80" zoomScaleNormal="80" workbookViewId="0">
      <pane xSplit="1" ySplit="8" topLeftCell="B9" activePane="bottomRight" state="frozen"/>
      <selection activeCell="B4" sqref="B4:D21"/>
      <selection pane="topRight" activeCell="B4" sqref="B4:D21"/>
      <selection pane="bottomLeft" activeCell="B4" sqref="B4:D21"/>
      <selection pane="bottomRight"/>
    </sheetView>
  </sheetViews>
  <sheetFormatPr defaultRowHeight="14.4" x14ac:dyDescent="0.3"/>
  <cols>
    <col min="7" max="9" width="15.6640625" style="17" customWidth="1"/>
    <col min="10" max="15" width="20" customWidth="1"/>
  </cols>
  <sheetData>
    <row r="1" ht="15" customHeight="1" x14ac:dyDescent="0.3"/>
    <row r="2" ht="15" customHeight="1" x14ac:dyDescent="0.3"/>
  </sheetData>
  <dataConsolidate link="1"/>
  <printOptions horizontalCentered="1"/>
  <pageMargins left="0.31496062992125984" right="0.31496062992125984" top="0.51181102362204722" bottom="0.39370078740157483" header="0.11811023622047245" footer="0.11811023622047245"/>
  <pageSetup paperSize="9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BD7CA-9E0C-4224-BC41-A7AC78F12D66}">
  <sheetPr codeName="Sheet9">
    <pageSetUpPr fitToPage="1"/>
  </sheetPr>
  <dimension ref="A1:I15"/>
  <sheetViews>
    <sheetView showGridLines="0" showRowColHeaders="0" zoomScale="80" zoomScaleNormal="80" workbookViewId="0">
      <selection activeCell="B4" sqref="B4:D21"/>
    </sheetView>
  </sheetViews>
  <sheetFormatPr defaultColWidth="9.109375" defaultRowHeight="14.4" x14ac:dyDescent="0.3"/>
  <cols>
    <col min="1" max="1" width="2.6640625" style="18" customWidth="1"/>
    <col min="2" max="2" width="22" style="18" bestFit="1" customWidth="1"/>
    <col min="3" max="3" width="40.88671875" style="18" bestFit="1" customWidth="1"/>
    <col min="4" max="4" width="26" style="18" bestFit="1" customWidth="1"/>
    <col min="5" max="5" width="42" style="18" bestFit="1" customWidth="1"/>
    <col min="6" max="6" width="28.88671875" style="18" customWidth="1"/>
    <col min="7" max="7" width="25.6640625" style="19" customWidth="1"/>
    <col min="8" max="9" width="15.6640625" style="19" customWidth="1"/>
    <col min="10" max="15" width="20" style="18" customWidth="1"/>
    <col min="16" max="16384" width="9.109375" style="18"/>
  </cols>
  <sheetData>
    <row r="1" spans="1:7" s="19" customFormat="1" x14ac:dyDescent="0.3">
      <c r="A1" s="18"/>
      <c r="B1" s="18"/>
      <c r="C1" s="18"/>
      <c r="D1" s="18"/>
      <c r="E1" s="18"/>
      <c r="F1" s="18"/>
    </row>
    <row r="2" spans="1:7" s="19" customFormat="1" x14ac:dyDescent="0.3">
      <c r="A2" s="18"/>
      <c r="B2" s="18"/>
      <c r="C2" s="18"/>
      <c r="D2" s="18"/>
      <c r="E2" s="18"/>
      <c r="F2" s="18"/>
    </row>
    <row r="3" spans="1:7" s="19" customFormat="1" x14ac:dyDescent="0.3">
      <c r="A3" s="18"/>
      <c r="B3" s="18"/>
      <c r="C3" s="18"/>
      <c r="D3" s="18"/>
      <c r="E3" s="18"/>
      <c r="F3" s="18"/>
    </row>
    <row r="4" spans="1:7" s="19" customFormat="1" x14ac:dyDescent="0.3">
      <c r="A4" s="18"/>
      <c r="B4" s="18"/>
      <c r="C4" s="18"/>
      <c r="D4" s="18"/>
      <c r="E4" s="18"/>
      <c r="F4" s="18"/>
    </row>
    <row r="5" spans="1:7" s="19" customFormat="1" x14ac:dyDescent="0.3">
      <c r="A5" s="18"/>
      <c r="B5" s="18"/>
      <c r="C5" s="18"/>
      <c r="D5" s="18"/>
      <c r="E5" s="18"/>
      <c r="F5" s="18"/>
    </row>
    <row r="6" spans="1:7" s="19" customFormat="1" ht="15" thickBot="1" x14ac:dyDescent="0.35">
      <c r="A6" s="18"/>
      <c r="B6" s="18"/>
      <c r="C6" s="18"/>
      <c r="D6" s="18"/>
      <c r="E6" s="18"/>
      <c r="F6" s="18"/>
    </row>
    <row r="7" spans="1:7" s="19" customFormat="1" ht="20.399999999999999" thickTop="1" x14ac:dyDescent="0.3">
      <c r="A7" s="18"/>
      <c r="B7" s="22" t="s">
        <v>14</v>
      </c>
      <c r="C7" s="20">
        <v>44989</v>
      </c>
      <c r="D7" s="23"/>
      <c r="E7" s="23"/>
      <c r="F7" s="23"/>
      <c r="G7" s="24"/>
    </row>
    <row r="8" spans="1:7" ht="20.399999999999999" thickBot="1" x14ac:dyDescent="0.35">
      <c r="B8" s="25" t="s">
        <v>15</v>
      </c>
      <c r="C8" s="21">
        <v>45009</v>
      </c>
      <c r="D8" s="23"/>
      <c r="E8" s="23"/>
      <c r="F8" s="23"/>
      <c r="G8" s="24"/>
    </row>
    <row r="9" spans="1:7" ht="15.6" thickTop="1" thickBot="1" x14ac:dyDescent="0.35">
      <c r="B9" s="23"/>
      <c r="C9" s="23"/>
      <c r="D9" s="23"/>
      <c r="E9" s="23"/>
      <c r="F9" s="23"/>
      <c r="G9" s="24"/>
    </row>
    <row r="10" spans="1:7" ht="19.2" thickTop="1" thickBot="1" x14ac:dyDescent="0.35">
      <c r="B10" s="30" t="s">
        <v>7</v>
      </c>
      <c r="C10" s="31" t="s">
        <v>8</v>
      </c>
      <c r="D10" s="30" t="s">
        <v>13</v>
      </c>
      <c r="E10" s="31" t="s">
        <v>9</v>
      </c>
      <c r="F10" s="31" t="s">
        <v>17</v>
      </c>
      <c r="G10" s="32" t="s">
        <v>18</v>
      </c>
    </row>
    <row r="11" spans="1:7" ht="18.600000000000001" thickTop="1" x14ac:dyDescent="0.3">
      <c r="B11" s="33" t="s">
        <v>10</v>
      </c>
      <c r="C11" s="34"/>
      <c r="D11" s="34"/>
      <c r="E11" s="34"/>
      <c r="F11" s="35"/>
      <c r="G11" s="36"/>
    </row>
    <row r="12" spans="1:7" ht="18" x14ac:dyDescent="0.3">
      <c r="B12" s="37" t="s">
        <v>11</v>
      </c>
      <c r="C12" s="38"/>
      <c r="D12" s="38"/>
      <c r="E12" s="38"/>
      <c r="F12" s="39"/>
      <c r="G12" s="40"/>
    </row>
    <row r="13" spans="1:7" ht="18.600000000000001" thickBot="1" x14ac:dyDescent="0.35">
      <c r="B13" s="41" t="s">
        <v>16</v>
      </c>
      <c r="C13" s="42"/>
      <c r="D13" s="42"/>
      <c r="E13" s="42"/>
      <c r="F13" s="43"/>
      <c r="G13" s="44"/>
    </row>
    <row r="14" spans="1:7" ht="25.2" thickTop="1" thickBot="1" x14ac:dyDescent="0.35">
      <c r="B14" s="26" t="s">
        <v>12</v>
      </c>
      <c r="C14" s="27"/>
      <c r="D14" s="28">
        <f>SUM(D11:D13)</f>
        <v>0</v>
      </c>
      <c r="E14" s="29">
        <f>SUM(E11:E13)</f>
        <v>0</v>
      </c>
      <c r="F14" s="23"/>
      <c r="G14" s="24"/>
    </row>
    <row r="15" spans="1:7" ht="15" thickTop="1" x14ac:dyDescent="0.3"/>
  </sheetData>
  <sheetProtection formatCells="0" formatColumns="0" formatRows="0" insertColumns="0" insertRows="0" insertHyperlinks="0" deleteColumns="0" deleteRows="0" sort="0" autoFilter="0" pivotTables="0"/>
  <dataConsolidate link="1"/>
  <printOptions horizontalCentered="1"/>
  <pageMargins left="0.31496062992125984" right="0.31496062992125984" top="0.51181102362204722" bottom="0.39370078740157483" header="0.11811023622047245" footer="0.11811023622047245"/>
  <pageSetup paperSize="9" scale="74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5A97D-D0FE-44C1-99B2-65D0DA11DCBE}">
  <sheetPr codeName="Sheet8">
    <pageSetUpPr fitToPage="1"/>
  </sheetPr>
  <dimension ref="G1:I2"/>
  <sheetViews>
    <sheetView showGridLines="0" showRowColHeaders="0" zoomScale="80" zoomScaleNormal="80" workbookViewId="0">
      <pane xSplit="1" ySplit="8" topLeftCell="B9" activePane="bottomRight" state="frozen"/>
      <selection activeCell="C14" sqref="C14"/>
      <selection pane="topRight" activeCell="C14" sqref="C14"/>
      <selection pane="bottomLeft" activeCell="C14" sqref="C14"/>
      <selection pane="bottomRight" activeCell="C14" sqref="C14"/>
    </sheetView>
  </sheetViews>
  <sheetFormatPr defaultRowHeight="14.4" x14ac:dyDescent="0.3"/>
  <cols>
    <col min="7" max="9" width="15.6640625" style="17" customWidth="1"/>
    <col min="10" max="15" width="20" customWidth="1"/>
  </cols>
  <sheetData>
    <row r="1" ht="15" customHeight="1" x14ac:dyDescent="0.3"/>
    <row r="2" ht="15" customHeight="1" x14ac:dyDescent="0.3"/>
  </sheetData>
  <dataConsolidate link="1"/>
  <printOptions horizontalCentered="1"/>
  <pageMargins left="0.31496062992125984" right="0.31496062992125984" top="0.51181102362204722" bottom="0.39370078740157483" header="0.11811023622047245" footer="0.11811023622047245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76</vt:i4>
      </vt:variant>
    </vt:vector>
  </HeadingPairs>
  <TitlesOfParts>
    <vt:vector size="96" baseType="lpstr">
      <vt:lpstr>Technical params-Slicers</vt:lpstr>
      <vt:lpstr>Technical params</vt:lpstr>
      <vt:lpstr>Home</vt:lpstr>
      <vt:lpstr>To be calculated</vt:lpstr>
      <vt:lpstr>Sheets renaming Params</vt:lpstr>
      <vt:lpstr>Ebm-SALES BY MONTH</vt:lpstr>
      <vt:lpstr>Ebm-PURCHASES BY MONTH</vt:lpstr>
      <vt:lpstr>Ebm-Etax Purchases comparison</vt:lpstr>
      <vt:lpstr>Ebm-Etax Sales comparison</vt:lpstr>
      <vt:lpstr>Ebm-SALES BY CLIENT</vt:lpstr>
      <vt:lpstr>Ebm-PURCHASES BY SUPPLIER</vt:lpstr>
      <vt:lpstr>Etax-SALES BY MONTH</vt:lpstr>
      <vt:lpstr>Etax-PURCHASES BY MONTH</vt:lpstr>
      <vt:lpstr>Etax-PURCHASES BY SUPPLIER</vt:lpstr>
      <vt:lpstr>Etax-SALES BY CLIENT</vt:lpstr>
      <vt:lpstr>ETAX PAYROLL ANALYSIS</vt:lpstr>
      <vt:lpstr>Ebm-INVOICES FROM SUPPLIERS</vt:lpstr>
      <vt:lpstr>Ebm-INVOICES TO CLIENTS</vt:lpstr>
      <vt:lpstr>EBM DATA SYNTHESIS</vt:lpstr>
      <vt:lpstr>Etax_Payroll All</vt:lpstr>
      <vt:lpstr>exist_tbl_EbmVatannex_Import20</vt:lpstr>
      <vt:lpstr>exist_tbl_EbmVatannex_Import21</vt:lpstr>
      <vt:lpstr>exist_tbl_EbmVatannex_Purchases</vt:lpstr>
      <vt:lpstr>exist_tbl_EbmVatannex_Sales</vt:lpstr>
      <vt:lpstr>exist_tbl_EtaxVatannex_Import</vt:lpstr>
      <vt:lpstr>exist_tbl_EtaxVatannex_Purchases</vt:lpstr>
      <vt:lpstr>exist_tbl_EtaxVatannex_Sales</vt:lpstr>
      <vt:lpstr>'Template report'!Print_Titles</vt:lpstr>
      <vt:lpstr>rng_Ebmdatasynthesis_Enddate</vt:lpstr>
      <vt:lpstr>rng_Ebmdatasynthesis_Importenddate</vt:lpstr>
      <vt:lpstr>rng_Ebmdatasynthesis_Importstartdate</vt:lpstr>
      <vt:lpstr>rng_Ebmdatasynthesis_Importvatamount</vt:lpstr>
      <vt:lpstr>rng_Ebmdatasynthesis_Importvatincluded</vt:lpstr>
      <vt:lpstr>rng_Ebmdatasynthesis_Importwtvat</vt:lpstr>
      <vt:lpstr>rng_Ebmdatasynthesis_Purchasesenddate</vt:lpstr>
      <vt:lpstr>rng_Ebmdatasynthesis_Purchasesstartdate</vt:lpstr>
      <vt:lpstr>rng_Ebmdatasynthesis_Purchasesvatamount</vt:lpstr>
      <vt:lpstr>rng_Ebmdatasynthesis_Purchasesvatincluded</vt:lpstr>
      <vt:lpstr>rng_Ebmdatasynthesis_Purchaseswtvat</vt:lpstr>
      <vt:lpstr>rng_Ebmdatasynthesis_Salesenddate</vt:lpstr>
      <vt:lpstr>rng_Ebmdatasynthesis_Salesstartdate</vt:lpstr>
      <vt:lpstr>rng_Ebmdatasynthesis_Salesvatamount</vt:lpstr>
      <vt:lpstr>rng_Ebmdatasynthesis_Salesvatincluded</vt:lpstr>
      <vt:lpstr>rng_Ebmdatasynthesis_Saleswtvat</vt:lpstr>
      <vt:lpstr>rng_Ebmdatasynthesis_Startdate</vt:lpstr>
      <vt:lpstr>rng_Home_cmdbtn_create_slicers</vt:lpstr>
      <vt:lpstr>rng_Home_Processingmessage</vt:lpstr>
      <vt:lpstr>rng_Params_cmd_get_advancedanalysis</vt:lpstr>
      <vt:lpstr>rng_Params_cmd_print_report_PurchasesbySupplier</vt:lpstr>
      <vt:lpstr>rng_Params_Language</vt:lpstr>
      <vt:lpstr>rng_SheetsrenamingParams_Sheet2rename</vt:lpstr>
      <vt:lpstr>rng_SheetsrenamingParams_Sheetnewname</vt:lpstr>
      <vt:lpstr>rng_Technicalparams_fieldname</vt:lpstr>
      <vt:lpstr>rng_Technicalparams_formulavalue</vt:lpstr>
      <vt:lpstr>rng_Technicalparams_Generatereport</vt:lpstr>
      <vt:lpstr>rng_Technicalparams_PivotfieldAutosort</vt:lpstr>
      <vt:lpstr>rng_Technicalparams_PivotfieldAutosortfield</vt:lpstr>
      <vt:lpstr>rng_Technicalparams_PivotfieldCalculation</vt:lpstr>
      <vt:lpstr>rng_Technicalparams_Pivotfieldcaption</vt:lpstr>
      <vt:lpstr>rng_Technicalparams_Pivotfieldfunction</vt:lpstr>
      <vt:lpstr>rng_Technicalparams_PivotfieldLayoutBlankline</vt:lpstr>
      <vt:lpstr>rng_Technicalparams_PivotfieldLayoutCompactRow</vt:lpstr>
      <vt:lpstr>rng_Technicalparams_PivotfieldLayoutForm</vt:lpstr>
      <vt:lpstr>rng_Technicalparams_Pivotfieldname</vt:lpstr>
      <vt:lpstr>rng_Technicalparams_PivotfieldNumberformat</vt:lpstr>
      <vt:lpstr>rng_Technicalparams_Pivotfieldorientation</vt:lpstr>
      <vt:lpstr>rng_Technicalparams_Pivotfieldposition</vt:lpstr>
      <vt:lpstr>rng_Technicalparams_PivotfieldSubtotal</vt:lpstr>
      <vt:lpstr>rng_Technicalparams_Pivottablename</vt:lpstr>
      <vt:lpstr>rng_Technicalparams_Rawdatasheetname</vt:lpstr>
      <vt:lpstr>rng_Technicalparams_Rawdatatablename</vt:lpstr>
      <vt:lpstr>rng_Technicalparams_Report1strowcaption</vt:lpstr>
      <vt:lpstr>rng_Technicalparams_Reportdatasource</vt:lpstr>
      <vt:lpstr>rng_Technicalparams_Reportpivottablename</vt:lpstr>
      <vt:lpstr>rng_Technicalparams_Reportsheetname</vt:lpstr>
      <vt:lpstr>rng_Technicalparams_Reporttitle</vt:lpstr>
      <vt:lpstr>rng_Technicalparams_Reporttitlerows2print</vt:lpstr>
      <vt:lpstr>rng_Technicalparams_RowHeight</vt:lpstr>
      <vt:lpstr>rng_Technicalparams_sheetname</vt:lpstr>
      <vt:lpstr>rng_Technicalparams_Slicercaption</vt:lpstr>
      <vt:lpstr>rng_Technicalparams_Slicerfieldsource</vt:lpstr>
      <vt:lpstr>rng_Technicalparams_Slicerheight</vt:lpstr>
      <vt:lpstr>rng_Technicalparams_Slicerleft</vt:lpstr>
      <vt:lpstr>rng_Technicalparams_Slicerlevel</vt:lpstr>
      <vt:lpstr>rng_Technicalparams_Slicername</vt:lpstr>
      <vt:lpstr>rng_Technicalparams_Slicernumbercolumns</vt:lpstr>
      <vt:lpstr>rng_Technicalparams_Slicerpivotsource</vt:lpstr>
      <vt:lpstr>rng_Technicalparams_Slicerplacement</vt:lpstr>
      <vt:lpstr>rng_Technicalparams_Slicerprintobject</vt:lpstr>
      <vt:lpstr>rng_Technicalparams_Slicersheetname</vt:lpstr>
      <vt:lpstr>rng_Technicalparams_Slicertop</vt:lpstr>
      <vt:lpstr>rng_Technicalparams_Slicerwidth</vt:lpstr>
      <vt:lpstr>rng_Technicalparamsfieldposition_Fieldorientation</vt:lpstr>
      <vt:lpstr>rng_Technicalparamsfieldposition_Pvtcompactcaption</vt:lpstr>
      <vt:lpstr>rng_Technicalparamsfieldposition_Pvtname</vt:lpstr>
      <vt:lpstr>rng_Technicalparamsfieldposition_Pvtsheetname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Jacques MUTABARUKA</dc:creator>
  <cp:lastModifiedBy>JEAN JACQUES MUTABARUKA</cp:lastModifiedBy>
  <cp:lastPrinted>2023-03-24T23:41:54Z</cp:lastPrinted>
  <dcterms:created xsi:type="dcterms:W3CDTF">2023-03-12T15:42:08Z</dcterms:created>
  <dcterms:modified xsi:type="dcterms:W3CDTF">2025-03-08T01:24:22Z</dcterms:modified>
</cp:coreProperties>
</file>